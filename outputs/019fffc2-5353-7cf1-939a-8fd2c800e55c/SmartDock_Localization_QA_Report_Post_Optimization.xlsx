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fbfc6d170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üfumfang" sheetId="1" r:id="R1627e63e8a1642ac"/>
    <x:sheet xmlns:r="http://schemas.openxmlformats.org/officeDocument/2006/relationships" name="Fehlerliste" sheetId="2" r:id="Rfed13c2f1e9442f5"/>
    <x:sheet xmlns:r="http://schemas.openxmlformats.org/officeDocument/2006/relationships" name="Seitenbewertungen" sheetId="3" r:id="R878728f4836b4ce2"/>
    <x:sheet xmlns:r="http://schemas.openxmlformats.org/officeDocument/2006/relationships" name="Glossar" sheetId="4" r:id="Rf2275862b96b478f"/>
    <x:sheet xmlns:r="http://schemas.openxmlformats.org/officeDocument/2006/relationships" name="Abschlussbericht" sheetId="5" r:id="R9bdeb7d6ab1e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1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1"/>
      <x:color rgb="FF7F6000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color rgb="FF17365D"/>
      <x:name val="Arial"/>
    </x:font>
    <x:font>
      <x:b/>
      <x:sz val="11"/>
      <x:color rgb="FFFFFFFF"/>
      <x:name val="Arial"/>
    </x:font>
    <x:font>
      <x:sz val="9"/>
      <x:name val="Carlito"/>
    </x:font>
    <x:font>
      <x:sz val="9"/>
      <x:name val="Arial"/>
    </x:font>
    <x:font>
      <x:b/>
      <x:sz val="11"/>
      <x:name val="Carlito"/>
    </x:font>
    <x:font>
      <x:b/>
      <x:sz val="12"/>
      <x:name val="Arial"/>
    </x:font>
    <x:font>
      <x:b/>
      <x:sz val="11"/>
      <x:name val="Arial"/>
    </x:font>
    <x:font>
      <x:b/>
      <x:sz val="11"/>
      <x:color rgb="FF7F6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b/>
      <x:sz val="9"/>
      <x:color rgb="FF7F6000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D3D64"/>
      </x:patternFill>
    </x:fill>
    <x:fill>
      <x:patternFill patternType="solid">
        <x:fgColor rgb="FF2F75B5"/>
      </x:patternFill>
    </x:fill>
    <x:fill>
      <x:patternFill patternType="solid">
        <x:fgColor rgb="FFF4CCCC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CFEAF6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5">
    <x:border/>
    <x:border/>
    <x:border>
      <x:left style="thin">
        <x:color rgb="FF9EADBC"/>
      </x:left>
      <x:top style="thin">
        <x:color rgb="FF9EADBC"/>
      </x:top>
      <x:bottom style="thin">
        <x:color rgb="FF9EADBC"/>
      </x:bottom>
    </x:border>
    <x:border>
      <x:top style="thin">
        <x:color rgb="FF9EADBC"/>
      </x:top>
      <x:bottom style="thin">
        <x:color rgb="FF9EADBC"/>
      </x:bottom>
    </x:border>
    <x:border>
      <x:right style="thin">
        <x:color rgb="FF9EADBC"/>
      </x:right>
      <x:top style="thin">
        <x:color rgb="FF9EADBC"/>
      </x:top>
      <x:bottom style="thin">
        <x:color rgb="FF9EADBC"/>
      </x:bottom>
    </x:border>
  </x:borders>
  <x:cellStyleXfs count="1">
    <x:xf numFmtId="0" fontId="0" fillId="0" borderId="0"/>
  </x:cellStyleXfs>
  <x:cellXfs count="1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10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top" wrapText="1"/>
    </x:xf>
    <x:xf numFmtId="0" fontId="9" fillId="8" borderId="2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center" vertical="center" wrapText="1"/>
    </x:xf>
    <x:xf numFmtId="0" fontId="9" fillId="8" borderId="4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200" fontId="0" fillId="13" borderId="0" xfId="0" applyNumberFormat="1" applyFont="1" applyFill="1" applyBorder="1" applyAlignment="1">
      <x:alignment horizontal="center" vertical="top" wrapText="1"/>
    </x:xf>
    <x:xf numFmtId="0" fontId="10" fillId="13" borderId="0" xfId="0" applyNumberFormat="1" applyFont="1" applyFill="1" applyBorder="1" applyAlignment="1">
      <x:alignment vertical="top" wrapText="1"/>
    </x:xf>
    <x:xf numFmtId="200" fontId="10" fillId="13" borderId="0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 applyAlignment="1">
      <x:alignment vertical="top" wrapText="1"/>
    </x:xf>
    <x:xf numFmtId="200" fontId="0" fillId="14" borderId="0" xfId="0" applyNumberFormat="1" applyFont="1" applyFill="1" applyBorder="1" applyAlignment="1">
      <x:alignment horizontal="center" vertical="top" wrapText="1"/>
    </x:xf>
    <x:xf numFmtId="0" fontId="10" fillId="14" borderId="0" xfId="0" applyNumberFormat="1" applyFont="1" applyFill="1" applyBorder="1" applyAlignment="1">
      <x:alignment vertical="top" wrapText="1"/>
    </x:xf>
    <x:xf numFmtId="200" fontId="10" fillId="14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10" fillId="14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vertical="top" wrapText="1"/>
    </x:xf>
    <x:xf numFmtId="200" fontId="11" fillId="13" borderId="0" xfId="0" applyNumberFormat="1" applyFont="1" applyFill="1" applyBorder="1" applyAlignment="1">
      <x:alignment horizontal="center" vertical="top" wrapText="1"/>
    </x:xf>
    <x:xf numFmtId="0" fontId="11" fillId="14" borderId="0" xfId="0" applyNumberFormat="1" applyFont="1" applyFill="1" applyBorder="1" applyAlignment="1">
      <x:alignment vertical="top" wrapText="1"/>
    </x:xf>
    <x:xf numFmtId="200" fontId="11" fillId="14" borderId="0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/>
    <x:xf numFmtId="0" fontId="3" fillId="8" borderId="2" xfId="0" applyNumberFormat="1" applyFont="1" applyFill="1" applyBorder="1" applyAlignment="1">
      <x:alignment vertical="top" wrapText="1"/>
    </x:xf>
    <x:xf numFmtId="0" fontId="3" fillId="8" borderId="3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/>
    <x:xf numFmtId="0" fontId="3" fillId="8" borderId="4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horizontal="center" vertical="top" wrapText="1"/>
    </x:xf>
    <x:xf numFmtId="0" fontId="3" fillId="8" borderId="3" xfId="0" applyNumberFormat="1" applyFont="1" applyFill="1" applyBorder="1" applyAlignment="1">
      <x:alignment horizontal="center" vertical="top" wrapText="1"/>
    </x:xf>
    <x:xf numFmtId="0" fontId="3" fillId="8" borderId="4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/>
    <x:xf numFmtId="200" fontId="13" fillId="0" borderId="0" xfId="0" applyNumberFormat="1" applyFont="1" applyFill="1" applyBorder="1" applyAlignment="1">
      <x:alignment horizontal="center"/>
    </x:xf>
    <x:xf numFmtId="201" fontId="7" fillId="0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15" fillId="5" borderId="0" xfId="0" applyNumberFormat="1" applyFont="1" applyFill="1" applyBorder="1" applyAlignment="1">
      <x:alignment vertical="top" wrapText="1"/>
    </x:xf>
    <x:xf numFmtId="0" fontId="15" fillId="11" borderId="0" xfId="0" applyNumberFormat="1" applyFont="1" applyFill="1" applyBorder="1"/>
    <x:xf numFmtId="0" fontId="11" fillId="15" borderId="0" xfId="0" applyNumberFormat="1" applyFont="1" applyFill="1" applyBorder="1" applyAlignment="1">
      <x:alignment vertical="top" wrapText="1"/>
    </x:xf>
    <x:xf numFmtId="0" fontId="11" fillId="16" borderId="0" xfId="0" applyNumberFormat="1" applyFont="1" applyFill="1" applyBorder="1" applyAlignment="1">
      <x:alignment vertical="top" wrapText="1"/>
    </x:xf>
    <x:xf numFmtId="201" fontId="13" fillId="0" borderId="0" xfId="0" applyNumberFormat="1" applyFont="1" applyFill="1" applyBorder="1" applyAlignment="1">
      <x:alignment horizontal="center"/>
    </x:xf>
    <x:xf numFmtId="201" fontId="7" fillId="0" borderId="0" xfId="0" applyNumberFormat="1" applyFont="1" applyFill="1" applyBorder="1"/>
    <x:xf numFmtId="0" fontId="8" fillId="17" borderId="0" xfId="0" applyNumberFormat="1" applyFont="1" applyFill="1" applyBorder="1" applyAlignment="1">
      <x:alignment vertical="top" wrapText="1"/>
    </x:xf>
    <x:xf numFmtId="0" fontId="7" fillId="17" borderId="0" xfId="0" applyNumberFormat="1" applyFont="1" applyFill="1" applyBorder="1" applyAlignment="1">
      <x:alignment vertical="top" wrapText="1"/>
    </x:xf>
    <x:xf numFmtId="0" fontId="8" fillId="17" borderId="0" xfId="0" applyNumberFormat="1" applyFont="1" applyFill="1" applyBorder="1" applyAlignment="1">
      <x:alignment vertical="center"/>
    </x:xf>
    <x:xf numFmtId="0" fontId="8" fillId="17" borderId="0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/>
    <x:xf numFmtId="0" fontId="7" fillId="17" borderId="0" xfId="0" applyNumberFormat="1" applyFont="1" applyFill="1" applyBorder="1"/>
    <x:xf numFmtId="0" fontId="16" fillId="17" borderId="0" xfId="0" applyNumberFormat="1" applyFont="1" applyFill="1" applyBorder="1" applyAlignment="1">
      <x:alignment vertical="top" wrapText="1"/>
    </x:xf>
    <x:xf numFmtId="0" fontId="17" fillId="17" borderId="0" xfId="0" applyNumberFormat="1" applyFont="1" applyFill="1" applyBorder="1" applyAlignment="1">
      <x:alignment vertical="top" wrapText="1"/>
    </x:xf>
    <x:xf numFmtId="0" fontId="16" fillId="17" borderId="0" xfId="0" applyNumberFormat="1" applyFont="1" applyFill="1" applyBorder="1" applyAlignment="1">
      <x:alignment vertical="center"/>
    </x:xf>
    <x:xf numFmtId="0" fontId="16" fillId="17" borderId="0" xfId="0" applyNumberFormat="1" applyFont="1" applyFill="1" applyBorder="1" applyAlignment="1">
      <x:alignment horizontal="center" vertical="center" wrapText="1"/>
    </x:xf>
    <x:xf numFmtId="0" fontId="16" fillId="17" borderId="0" xfId="0" applyNumberFormat="1" applyFont="1" applyFill="1" applyBorder="1"/>
    <x:xf numFmtId="0" fontId="17" fillId="17" borderId="0" xfId="0" applyNumberFormat="1" applyFont="1" applyFill="1" applyBorder="1"/>
    <x:xf numFmtId="0" fontId="16" fillId="17" borderId="0" xfId="0" applyNumberFormat="1" applyFont="1" applyFill="1" applyBorder="1" applyAlignment="1">
      <x:alignment vertical="top" wrapText="0"/>
    </x:xf>
    <x:xf numFmtId="0" fontId="17" fillId="17" borderId="0" xfId="0" applyNumberFormat="1" applyFont="1" applyFill="1" applyBorder="1" applyAlignment="1">
      <x:alignment vertical="top" wrapText="0"/>
    </x:xf>
    <x:xf numFmtId="0" fontId="16" fillId="17" borderId="0" xfId="0" applyNumberFormat="1" applyFont="1" applyFill="1" applyBorder="1" applyAlignment="1">
      <x:alignment vertical="center" wrapText="0"/>
    </x:xf>
    <x:xf numFmtId="0" fontId="16" fillId="17" borderId="0" xfId="0" applyNumberFormat="1" applyFont="1" applyFill="1" applyBorder="1" applyAlignment="1">
      <x:alignment horizontal="center" vertical="center" wrapText="0"/>
    </x:xf>
    <x:xf numFmtId="0" fontId="16" fillId="17" borderId="0" xfId="0" applyNumberFormat="1" applyFont="1" applyFill="1" applyBorder="1" applyAlignment="1">
      <x:alignment wrapText="0"/>
    </x:xf>
    <x:xf numFmtId="0" fontId="17" fillId="17" borderId="0" xfId="0" applyNumberFormat="1" applyFont="1" applyFill="1" applyBorder="1" applyAlignment="1">
      <x:alignment wrapText="0"/>
    </x:xf>
    <x:xf numFmtId="0" fontId="16" fillId="18" borderId="0" xfId="0" applyNumberFormat="1" applyFont="1" applyFill="1" applyBorder="1" applyAlignment="1">
      <x:alignment vertical="top" wrapText="0"/>
    </x:xf>
    <x:xf numFmtId="0" fontId="8" fillId="18" borderId="0" xfId="0" applyNumberFormat="1" applyFont="1" applyFill="1" applyBorder="1" applyAlignment="1">
      <x:alignment vertical="top" wrapText="0"/>
    </x:xf>
    <x:xf numFmtId="0" fontId="16" fillId="18" borderId="0" xfId="0" applyNumberFormat="1" applyFont="1" applyFill="1" applyBorder="1" applyAlignment="1">
      <x:alignment horizontal="center" vertical="center" wrapText="0"/>
    </x:xf>
    <x:xf numFmtId="0" fontId="16" fillId="18" borderId="0" xfId="0" applyNumberFormat="1" applyFont="1" applyFill="1" applyBorder="1" applyAlignment="1">
      <x:alignment wrapText="0"/>
    </x:xf>
    <x:xf numFmtId="0" fontId="8" fillId="18" borderId="0" xfId="0" applyNumberFormat="1" applyFont="1" applyFill="1" applyBorder="1" applyAlignment="1">
      <x:alignment horizontal="center" vertical="center" wrapText="0"/>
    </x:xf>
    <x:xf numFmtId="0" fontId="8" fillId="18" borderId="0" xfId="0" applyNumberFormat="1" applyFont="1" applyFill="1" applyBorder="1" applyAlignment="1">
      <x:alignment wrapText="0"/>
    </x:xf>
    <x:xf numFmtId="0" fontId="9" fillId="19" borderId="2" xfId="0" applyNumberFormat="1" applyFont="1" applyFill="1" applyBorder="1" applyAlignment="1">
      <x:alignment horizontal="center" vertical="center" wrapText="1"/>
    </x:xf>
    <x:xf numFmtId="0" fontId="9" fillId="19" borderId="3" xfId="0" applyNumberFormat="1" applyFont="1" applyFill="1" applyBorder="1" applyAlignment="1">
      <x:alignment horizontal="center" vertical="center" wrapText="1"/>
    </x:xf>
    <x:xf numFmtId="0" fontId="9" fillId="19" borderId="4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0" fontId="18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CE8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6a2cf418b41e5" /><Relationship Type="http://schemas.openxmlformats.org/officeDocument/2006/relationships/theme" Target="/xl/theme/theme1.xml" Id="R385b7276fabc4dd7" /><Relationship Type="http://schemas.openxmlformats.org/officeDocument/2006/relationships/sharedStrings" Target="/xl/sharedStrings.xml" Id="R1324d62ecad6404a" /><Relationship Type="http://schemas.openxmlformats.org/officeDocument/2006/relationships/worksheet" Target="/xl/worksheets/sheet1.xml" Id="R1627e63e8a1642ac" /><Relationship Type="http://schemas.openxmlformats.org/officeDocument/2006/relationships/worksheet" Target="/xl/worksheets/sheet2.xml" Id="Rfed13c2f1e9442f5" /><Relationship Type="http://schemas.openxmlformats.org/officeDocument/2006/relationships/worksheet" Target="/xl/worksheets/sheet3.xml" Id="R878728f4836b4ce2" /><Relationship Type="http://schemas.openxmlformats.org/officeDocument/2006/relationships/worksheet" Target="/xl/worksheets/sheet4.xml" Id="Rf2275862b96b478f" /><Relationship Type="http://schemas.openxmlformats.org/officeDocument/2006/relationships/worksheet" Target="/xl/worksheets/sheet5.xml" Id="R9bdeb7d6ab1e4bcd" /></Relationships>
</file>

<file path=xl/tables/table1.xml><?xml version="1.0" encoding="utf-8"?>
<x:table xmlns:x="http://schemas.openxmlformats.org/spreadsheetml/2006/main" id="4" name="ResidualIssuesTable" displayName="ResidualIssuesTable" ref="A1:J13" headerRowCount="1" totalsRowCount="0" totalsRowShown="0">
  <x:tableColumns count="10">
    <x:tableColumn id="1" name="Zielsprache"/>
    <x:tableColumn id="2" name="Seite / URL"/>
    <x:tableColumn id="3" name="Original"/>
    <x:tableColumn id="4" name="Aktuelle Übersetzung"/>
    <x:tableColumn id="5" name="Schweregrad"/>
    <x:tableColumn id="6" name="Kategorie"/>
    <x:tableColumn id="7" name="Problem"/>
    <x:tableColumn id="8" name="Verbesserungsvorschlag"/>
    <x:tableColumn id="9" name="Begründung"/>
    <x:tableColumn id="10" name="String-ID / Quel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Scores" displayName="PageScores" ref="A1:J151" headerRowCount="1" totalsRowCount="0" totalsRowShown="0">
  <x:tableColumns count="10">
    <x:tableColumn id="1" name="Zielsprache"/>
    <x:tableColumn id="2" name="Paket"/>
    <x:tableColumn id="3" name="Seite"/>
    <x:tableColumn id="4" name="Inhaltliche Genauigkeit"/>
    <x:tableColumn id="5" name="Natürlichkeit"/>
    <x:tableColumn id="6" name="Grammatik"/>
    <x:tableColumn id="7" name="Terminologie"/>
    <x:tableColumn id="8" name="Konsistenz"/>
    <x:tableColumn id="9" name="Gesamtqualität"/>
    <x:tableColumn id="10" name="Kurzkomment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martDockGlossary" displayName="SmartDockGlossary" ref="A1:F63" headerRowCount="1" totalsRowCount="0" totalsRowShown="0">
  <x:tableColumns count="6">
    <x:tableColumn id="1" name="Ausgangssprache"/>
    <x:tableColumn id="2" name="Ausgangsbegriff"/>
    <x:tableColumn id="3" name="Zielsprache"/>
    <x:tableColumn id="4" name="Empfohlene Übersetzung"/>
    <x:tableColumn id="5" name="Nicht verwenden"/>
    <x:tableColumn id="6" name="Hinwe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89c4b9ff5342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0b31a0ca4540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258e22d82e4e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</x:cols>
  <x:sheetData>
    <x:row r="1" ht="28" customHeight="1">
      <x:c r="A1" s="51" t="str">
        <x:v>SmartDock – Localization &amp; Translation QA</x:v>
      </x:c>
      <x:c r="B1" s="51"/>
      <x:c r="C1" s="47"/>
      <x:c r="D1" s="47"/>
      <x:c r="E1" s="47"/>
      <x:c r="F1" s="47"/>
      <x:c r="G1" s="47"/>
      <x:c r="H1" s="47"/>
    </x:row>
    <x:row r="2">
      <x:c r="A2" s="52"/>
      <x:c r="B2" s="52"/>
    </x:row>
    <x:row r="3" ht="15" hidden="0" customHeight="1">
      <x:c r="A3" s="53" t="str">
        <x:v>Quelle</x:v>
      </x:c>
      <x:c r="B3" s="54" t="str">
        <x:v>Aktueller Website-Code, SMARTDOCK_WEBSITE_TEXTS_COMPLETE.md und SMARTDOCK_LOCALIZATION_PACKAGE.md</x:v>
      </x:c>
    </x:row>
    <x:row r="4" ht="15" hidden="0" customHeight="1">
      <x:c r="A4" s="53" t="str">
        <x:v>Master-Sprache</x:v>
      </x:c>
      <x:c r="B4" s="54" t="str">
        <x:v>Deutsch (de-DE)</x:v>
      </x:c>
    </x:row>
    <x:row r="5" ht="26.399999618530273" hidden="0" customHeight="1">
      <x:c r="A5" s="53" t="str">
        <x:v>Geprüfte Zielsprachen</x:v>
      </x:c>
      <x:c r="B5" s="54" t="str">
        <x:v>Englisch (en), Französisch (fr-FR), Dänisch (da-DK), Spanisch (es-ES), Niederländisch (nl-NL), Norwegisch Bokmål (nb-NO), Schwedisch (sv-SE)</x:v>
      </x:c>
    </x:row>
    <x:row r="6" ht="15" hidden="0" customHeight="1">
      <x:c r="A6" s="53" t="str">
        <x:v>Nachprüfung</x:v>
      </x:c>
      <x:c r="B6" s="54" t="str">
        <x:v>Post-Optimization-Review nach Laufzeit-, Terminologie- und Verdrahtungskorrekturen; Build, Lint und sechs französische Rechtsrouten im Browser verifiziert.</x:v>
      </x:c>
    </x:row>
    <x:row r="7" ht="15" hidden="0" customHeight="1">
      <x:c r="A7" s="53" t="str">
        <x:v>Umfang</x:v>
      </x:c>
      <x:c r="B7" s="54" t="str">
        <x:v>Globale UI-Texte, P01–P28, Konfigurator, Installation, SEO/Accessibility, Rastertexte und Rechtstexte.</x:v>
      </x:c>
    </x:row>
    <x:row r="8" ht="26.399999618530273" hidden="0" customHeight="1">
      <x:c r="A8" s="53" t="str">
        <x:v>Bewertungsprinzip</x:v>
      </x:c>
      <x:c r="B8" s="54" t="str">
        <x:v>Nur verbleibende sprachliche bzw. Laufzeitrisiken werden abgewertet; bereits behobene Befunde sind nicht mehr als offene Fehler gezählt.</x:v>
      </x:c>
    </x:row>
    <x:row r="9" ht="15" hidden="0" customHeight="1">
      <x:c r="A9" s="53" t="str">
        <x:v>Wichtige Abgrenzung</x:v>
      </x:c>
      <x:c r="B9" s="54" t="str">
        <x:v>Sprachliche QA ersetzt keine rechtliche, technische oder faktische Freigabe. TARGET_REVIEW bleibt ein separater Freigabestatus.</x:v>
      </x:c>
    </x:row>
    <x:row r="10" ht="15" hidden="0" customHeight="1">
      <x:c r="A10" s="52"/>
      <x:c r="B10" s="52"/>
    </x:row>
    <x:row r="11" ht="15" hidden="0" customHeight="1">
      <x:c r="A11" s="55" t="str">
        <x:v>Schweregrad</x:v>
      </x:c>
      <x:c r="B11" s="55" t="str">
        <x:v>Interpretation</x:v>
      </x:c>
    </x:row>
    <x:row r="12" ht="15" hidden="0" customHeight="1">
      <x:c r="A12" s="54" t="str">
        <x:v>Kritisch</x:v>
      </x:c>
      <x:c r="B12" s="54" t="str">
        <x:v>Bedeutung erheblich falsch/verändert.</x:v>
      </x:c>
    </x:row>
    <x:row r="13" ht="15" hidden="0" customHeight="1">
      <x:c r="A13" s="54" t="str">
        <x:v>Hoch</x:v>
      </x:c>
      <x:c r="B13" s="54" t="str">
        <x:v>Deutlicher Übersetzungs-, Grammatik- oder Terminologiefehler.</x:v>
      </x:c>
    </x:row>
    <x:row r="14" ht="15" hidden="0" customHeight="1">
      <x:c r="A14" s="54" t="str">
        <x:v>Mittel</x:v>
      </x:c>
      <x:c r="B14" s="54" t="str">
        <x:v>Verständlich, aber unnatürlich, unpräzise oder deutlich verbesserungswürdig.</x:v>
      </x:c>
    </x:row>
    <x:row r="15" ht="15" hidden="0" customHeight="1">
      <x:c r="A15" s="54" t="str">
        <x:v>Niedrig</x:v>
      </x:c>
      <x:c r="B15" s="54" t="str">
        <x:v>Kleine sprachliche/typografische Optimierung.</x:v>
      </x:c>
    </x:row>
    <x:row r="16" ht="15" hidden="0" customHeight="1">
      <x:c r="A16" s="52"/>
      <x:c r="B16" s="52"/>
    </x:row>
    <x:row r="17" ht="15" hidden="0" customHeight="1">
      <x:c r="A17" s="56" t="str">
        <x:v>CONTEXT_REQUIRED</x:v>
      </x:c>
      <x:c r="B17" s="57" t="str">
        <x:v>Fehlender UI-/Produktkontext verhindert eine sichere Zielsprachenentscheidung.</x:v>
      </x:c>
    </x:row>
    <x:row r="18" ht="15" hidden="0" customHeight="1">
      <x:c r="A18" s="56" t="str">
        <x:v>SOURCE_REVIEW_REQUIRED</x:v>
      </x:c>
      <x:c r="B18" s="57" t="str">
        <x:v>Der deutsche Master ist selbst uneindeutig oder technisch/faktisch prüfbedürftig.</x:v>
      </x:c>
    </x:row>
    <x:row r="19" ht="15" hidden="0" customHeight="1">
      <x:c r="A19" s="56" t="str">
        <x:v>SOURCE_NOT_VERIFIED</x:v>
      </x:c>
      <x:c r="B19" s="57" t="str">
        <x:v>Keine stabile aktive EN/FR-Quelle konnte zugeordnet werden; eine plausible Referenz ist keine Freigabe.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45" hidden="0" customWidth="1"/>
    <x:col min="4" max="4" width="49" hidden="0" customWidth="1"/>
    <x:col min="5" max="5" width="13" hidden="0" customWidth="1"/>
    <x:col min="6" max="6" width="28" hidden="0" customWidth="1"/>
    <x:col min="7" max="7" width="45" hidden="0" customWidth="1"/>
    <x:col min="8" max="8" width="50" hidden="0" customWidth="1"/>
    <x:col min="9" max="9" width="48" hidden="0" customWidth="1"/>
    <x:col min="10" max="10" width="34" hidden="0" customWidth="1"/>
  </x:cols>
  <x:sheetData>
    <x:row r="1">
      <x:c r="A1" s="76" t="str">
        <x:v>Zielsprache</x:v>
      </x:c>
      <x:c r="B1" s="77" t="str">
        <x:v>Seite / URL</x:v>
      </x:c>
      <x:c r="C1" s="77" t="str">
        <x:v>Original</x:v>
      </x:c>
      <x:c r="D1" s="77" t="str">
        <x:v>Aktuelle Übersetzung</x:v>
      </x:c>
      <x:c r="E1" s="77" t="str">
        <x:v>Schweregrad</x:v>
      </x:c>
      <x:c r="F1" s="77" t="str">
        <x:v>Kategorie</x:v>
      </x:c>
      <x:c r="G1" s="77" t="str">
        <x:v>Problem</x:v>
      </x:c>
      <x:c r="H1" s="77" t="str">
        <x:v>Verbesserungsvorschlag</x:v>
      </x:c>
      <x:c r="I1" s="77" t="str">
        <x:v>Begründung</x:v>
      </x:c>
      <x:c r="J1" s="78" t="str">
        <x:v>String-ID / Quelle</x:v>
      </x:c>
    </x:row>
    <x:row r="2" ht="21.600000381469727" hidden="0" customHeight="1">
      <x:c r="A2" s="130" t="str">
        <x:v>Dänisch (da-DK)</x:v>
      </x:c>
      <x:c r="B2" s="130" t="str">
        <x:v>P26A/P26B Datenschutz</x:v>
      </x:c>
      <x:c r="C2" s="130" t="str">
        <x:v>Weitere datenschutzrechtliche Artikelverweise</x:v>
      </x:c>
      <x:c r="D2" s="130" t="str">
        <x:v>Einzelne übrige Zeilen verwenden noch nicht vollständig lokalisierte Zitiermuster.</x:v>
      </x:c>
      <x:c r="E2" s="130" t="str">
        <x:v>Hoch</x:v>
      </x:c>
      <x:c r="F2" s="130" t="str">
        <x:v>Rechtsterminologie</x:v>
      </x:c>
      <x:c r="G2" s="130" t="str">
        <x:v>Nach der ersten Bereinigung verbleiben weitere locale-spezifische Zitatkonventionen.</x:v>
      </x:c>
      <x:c r="H2" s="130" t="str">
        <x:v>Alle verbleibenden Art.-6-/Art.-21-Verweise konsequent in dänischer Zitierweise ausgeben.</x:v>
      </x:c>
      <x:c r="I2" s="130" t="str">
        <x:v>Sprachlich sichtbar, aber ohne Bedeutungsverlust; juristische Fachprüfung bleibt separat erforderlich.</x:v>
      </x:c>
      <x:c r="J2" s="130" t="str">
        <x:v>privacy.* · verbleibende Zitatkonventionen</x:v>
      </x:c>
    </x:row>
    <x:row r="3" ht="21.600000381469727" hidden="0" customHeight="1">
      <x:c r="A3" s="130" t="str">
        <x:v>Spanisch (es-ES)</x:v>
      </x:c>
      <x:c r="B3" s="130" t="str">
        <x:v>P26A/P26B Datenschutz</x:v>
      </x:c>
      <x:c r="C3" s="130" t="str">
        <x:v>Weitere datenschutzrechtliche Artikelverweise</x:v>
      </x:c>
      <x:c r="D3" s="130" t="str">
        <x:v>Einzelne übrige Zeilen verwenden noch nicht vollständig lokalisierte Zitiermuster.</x:v>
      </x:c>
      <x:c r="E3" s="130" t="str">
        <x:v>Hoch</x:v>
      </x:c>
      <x:c r="F3" s="130" t="str">
        <x:v>Rechtsterminologie</x:v>
      </x:c>
      <x:c r="G3" s="130" t="str">
        <x:v>Nach der ersten Bereinigung verbleiben weitere locale-spezifische Zitatkonventionen.</x:v>
      </x:c>
      <x:c r="H3" s="130" t="str">
        <x:v>Alle verbleibenden Art.-6-/Art.-21-Verweise konsequent in spanischer RGPD-Zitierweise ausgeben.</x:v>
      </x:c>
      <x:c r="I3" s="130" t="str">
        <x:v>Sprachlich sichtbar, aber ohne Bedeutungsverlust; juristische Fachprüfung bleibt separat erforderlich.</x:v>
      </x:c>
      <x:c r="J3" s="130" t="str">
        <x:v>privacy.* · verbleibende Zitatkonventionen</x:v>
      </x:c>
    </x:row>
    <x:row r="4" ht="21.600000381469727" hidden="0" customHeight="1">
      <x:c r="A4" s="130" t="str">
        <x:v>Niederländisch (nl-NL)</x:v>
      </x:c>
      <x:c r="B4" s="130" t="str">
        <x:v>P26A/P26B Datenschutz</x:v>
      </x:c>
      <x:c r="C4" s="130" t="str">
        <x:v>Weitere datenschutzrechtliche Artikelverweise</x:v>
      </x:c>
      <x:c r="D4" s="130" t="str">
        <x:v>Einzelne übrige Zeilen verwenden noch nicht vollständig lokalisierte Zitiermuster.</x:v>
      </x:c>
      <x:c r="E4" s="130" t="str">
        <x:v>Hoch</x:v>
      </x:c>
      <x:c r="F4" s="130" t="str">
        <x:v>Rechtsterminologie</x:v>
      </x:c>
      <x:c r="G4" s="130" t="str">
        <x:v>Nach der ersten Bereinigung verbleiben weitere locale-spezifische Zitatkonventionen.</x:v>
      </x:c>
      <x:c r="H4" s="130" t="str">
        <x:v>Alle verbleibenden Art.-6-/Art.-21-Verweise konsequent in niederländischer AVG-Zitierweise ausgeben.</x:v>
      </x:c>
      <x:c r="I4" s="130" t="str">
        <x:v>Sprachlich sichtbar, aber ohne Bedeutungsverlust; juristische Fachprüfung bleibt separat erforderlich.</x:v>
      </x:c>
      <x:c r="J4" s="130" t="str">
        <x:v>privacy.* · verbleibende Zitatkonventionen</x:v>
      </x:c>
    </x:row>
    <x:row r="5" ht="21.600000381469727" hidden="0" customHeight="1">
      <x:c r="A5" s="130" t="str">
        <x:v>Norwegisch Bokmål (nb-NO)</x:v>
      </x:c>
      <x:c r="B5" s="130" t="str">
        <x:v>P26A/P26B Datenschutz</x:v>
      </x:c>
      <x:c r="C5" s="130" t="str">
        <x:v>Weitere datenschutzrechtliche Artikelverweise</x:v>
      </x:c>
      <x:c r="D5" s="130" t="str">
        <x:v>Einzelne übrige Zeilen verwenden noch nicht vollständig lokalisierte Zitiermuster.</x:v>
      </x:c>
      <x:c r="E5" s="130" t="str">
        <x:v>Hoch</x:v>
      </x:c>
      <x:c r="F5" s="130" t="str">
        <x:v>Rechtsterminologie</x:v>
      </x:c>
      <x:c r="G5" s="130" t="str">
        <x:v>Nach der ersten Bereinigung verbleiben weitere locale-spezifische Zitatkonventionen.</x:v>
      </x:c>
      <x:c r="H5" s="130" t="str">
        <x:v>Alle verbleibenden Art.-6-/Art.-21-Verweise konsequent in norwegischer GDPR-Zitierweise ausgeben.</x:v>
      </x:c>
      <x:c r="I5" s="130" t="str">
        <x:v>Sprachlich sichtbar, aber ohne Bedeutungsverlust; juristische Fachprüfung bleibt separat erforderlich.</x:v>
      </x:c>
      <x:c r="J5" s="130" t="str">
        <x:v>privacy.* · verbleibende Zitatkonventionen</x:v>
      </x:c>
    </x:row>
    <x:row r="6" ht="21.600000381469727" hidden="0" customHeight="1">
      <x:c r="A6" s="130" t="str">
        <x:v>Schwedisch (sv-SE)</x:v>
      </x:c>
      <x:c r="B6" s="130" t="str">
        <x:v>P26A/P26B Datenschutz</x:v>
      </x:c>
      <x:c r="C6" s="130" t="str">
        <x:v>Weitere datenschutzrechtliche Artikelverweise</x:v>
      </x:c>
      <x:c r="D6" s="130" t="str">
        <x:v>Einzelne übrige Zeilen verwenden noch nicht vollständig lokalisierte Zitiermuster.</x:v>
      </x:c>
      <x:c r="E6" s="130" t="str">
        <x:v>Hoch</x:v>
      </x:c>
      <x:c r="F6" s="130" t="str">
        <x:v>Rechtsterminologie</x:v>
      </x:c>
      <x:c r="G6" s="130" t="str">
        <x:v>Nach der ersten Bereinigung verbleiben weitere locale-spezifische Zitatkonventionen.</x:v>
      </x:c>
      <x:c r="H6" s="130" t="str">
        <x:v>Alle verbleibenden Art.-6-/Art.-21-Verweise konsequent in schwedischer GDPR-Zitierweise ausgeben.</x:v>
      </x:c>
      <x:c r="I6" s="130" t="str">
        <x:v>Sprachlich sichtbar, aber ohne Bedeutungsverlust; juristische Fachprüfung bleibt separat erforderlich.</x:v>
      </x:c>
      <x:c r="J6" s="130" t="str">
        <x:v>privacy.* · verbleibende Zitatkonventionen</x:v>
      </x:c>
    </x:row>
    <x:row r="7" ht="21.600000381469727" hidden="0" customHeight="1">
      <x:c r="A7" s="130" t="str">
        <x:v>Englisch (en)</x:v>
      </x:c>
      <x:c r="B7" s="130" t="str">
        <x:v>P20 Dynamische technische Werte</x:v>
      </x:c>
      <x:c r="C7" s="130" t="str">
        <x:v>Zusammengesetzte Geräte- und Optionswerte</x:v>
      </x:c>
      <x:c r="D7" s="130" t="str">
        <x:v>Der Kernfluss ist lokalisiert; einzelne dynamische Datensätze können weiterhin deutsche Fachbegriffe liefern.</x:v>
      </x:c>
      <x:c r="E7" s="130" t="str">
        <x:v>Hoch</x:v>
      </x:c>
      <x:c r="F7" s="130" t="str">
        <x:v>Dynamische Terminologie</x:v>
      </x:c>
      <x:c r="G7" s="130" t="str">
        <x:v>Die verbleibende Unsicherheit liegt in Datenwerten, nicht in der statischen Oberfläche.</x:v>
      </x:c>
      <x:c r="H7" s="130" t="str">
        <x:v>PocketBase-Werte über ein verbindliches technisches Value-Glossar normalisieren.</x:v>
      </x:c>
      <x:c r="I7" s="130" t="str">
        <x:v>Dynamische Werte benötigen Datenprüfung mit realen Datensätzen.</x:v>
      </x:c>
      <x:c r="J7" s="130" t="str">
        <x:v>P20 · dynamische Datensätze</x:v>
      </x:c>
    </x:row>
    <x:row r="8" ht="21.600000381469727" hidden="0" customHeight="1">
      <x:c r="A8" s="130" t="str">
        <x:v>Französisch (fr-FR)</x:v>
      </x:c>
      <x:c r="B8" s="130" t="str">
        <x:v>P20 Valeurs techniques dynamiques</x:v>
      </x:c>
      <x:c r="C8" s="130" t="str">
        <x:v>Valeurs combinées des appareils et options</x:v>
      </x:c>
      <x:c r="D8" s="130" t="str">
        <x:v>Le parcours principal est localisé ; certaines données dynamiques peuvent encore contenir des termes allemands.</x:v>
      </x:c>
      <x:c r="E8" s="130" t="str">
        <x:v>Hoch</x:v>
      </x:c>
      <x:c r="F8" s="130" t="str">
        <x:v>Dynamische Terminologie</x:v>
      </x:c>
      <x:c r="G8" s="130" t="str">
        <x:v>Die verbleibende Unsicherheit liegt in Datenwerten, nicht in der statischen Oberfläche.</x:v>
      </x:c>
      <x:c r="H8" s="130" t="str">
        <x:v>Normaliser les valeurs PocketBase à l’aide d’un glossaire technique commun.</x:v>
      </x:c>
      <x:c r="I8" s="130" t="str">
        <x:v>Dynamische Werte benötigen Datenprüfung mit realen Datensätzen.</x:v>
      </x:c>
      <x:c r="J8" s="130" t="str">
        <x:v>P20 · dynamische Datensätze</x:v>
      </x:c>
    </x:row>
    <x:row r="9" ht="21.600000381469727" hidden="0" customHeight="1">
      <x:c r="A9" s="130" t="str">
        <x:v>Englisch (en)</x:v>
      </x:c>
      <x:c r="B9" s="130" t="str">
        <x:v>P28 Raster-/Embedded-Text-Audit</x:v>
      </x:c>
      <x:c r="C9" s="130" t="str">
        <x:v>Text innerhalb veröffentlichter Grafiken</x:v>
      </x:c>
      <x:c r="D9" s="130" t="str">
        <x:v>Die Runtime ist korrigiert; eingebettete Bildtexte können nicht durch die Sprachlogik ersetzt werden.</x:v>
      </x:c>
      <x:c r="E9" s="130" t="str">
        <x:v>Hoch</x:v>
      </x:c>
      <x:c r="F9" s="130" t="str">
        <x:v>Asset-Lokalisierung</x:v>
      </x:c>
      <x:c r="G9" s="130" t="str">
        <x:v>Für EN fehlen weiterhin final visuell geprüfte Rastervarianten einzelner Assets.</x:v>
      </x:c>
      <x:c r="H9" s="130" t="str">
        <x:v>Englische Assetvarianten mit finalem App-Glossar produzieren und visuell abnehmen.</x:v>
      </x:c>
      <x:c r="I9" s="130" t="str">
        <x:v>Bildtext ist eigenständiger veröffentlichter Zieltext.</x:v>
      </x:c>
      <x:c r="J9" s="130" t="str">
        <x:v>P28 · Raster-Assets</x:v>
      </x:c>
    </x:row>
    <x:row r="10" ht="21.600000381469727" hidden="0" customHeight="1">
      <x:c r="A10" s="130" t="str">
        <x:v>Französisch (fr-FR)</x:v>
      </x:c>
      <x:c r="B10" s="130" t="str">
        <x:v>P28 Audit des textes intégrés</x:v>
      </x:c>
      <x:c r="C10" s="130" t="str">
        <x:v>Texte intégré dans les visuels publiés</x:v>
      </x:c>
      <x:c r="D10" s="130" t="str">
        <x:v>La logique d’exécution est corrigée, mais les textes intégrés aux images nécessitent des variantes distinctes.</x:v>
      </x:c>
      <x:c r="E10" s="130" t="str">
        <x:v>Hoch</x:v>
      </x:c>
      <x:c r="F10" s="130" t="str">
        <x:v>Asset-Lokalisierung</x:v>
      </x:c>
      <x:c r="G10" s="130" t="str">
        <x:v>Für FR fehlen weiterhin final visuell geprüfte Rastervarianten einzelner Assets.</x:v>
      </x:c>
      <x:c r="H10" s="130" t="str">
        <x:v>Produire puis valider visuellement les variantes françaises avec le glossaire final.</x:v>
      </x:c>
      <x:c r="I10" s="130" t="str">
        <x:v>Bildtext ist eigenständiger veröffentlichter Zieltext.</x:v>
      </x:c>
      <x:c r="J10" s="130" t="str">
        <x:v>P28 · Raster-Assets</x:v>
      </x:c>
    </x:row>
    <x:row r="11" ht="21.600000381469727" hidden="0" customHeight="1">
      <x:c r="A11" s="131" t="str">
        <x:v>Englisch (en)</x:v>
      </x:c>
      <x:c r="B11" s="131" t="str">
        <x:v>P27 SEO &amp; Accessibility – Restumfang</x:v>
      </x:c>
      <x:c r="C11" s="131" t="str">
        <x:v>Vereinzelte Alt-/ARIA-/Titeltexte</x:v>
      </x:c>
      <x:c r="D11" s="131" t="str">
        <x:v>Rechtsseiten-Metadaten und Kartenlabel sind korrigiert; ein kleinerer Restumfang ist noch zu verifizieren.</x:v>
      </x:c>
      <x:c r="E11" s="131" t="str">
        <x:v>Mittel</x:v>
      </x:c>
      <x:c r="F11" s="131" t="str">
        <x:v>Accessibility / Metadaten</x:v>
      </x:c>
      <x:c r="G11" s="131" t="str">
        <x:v>Die größten Laufzeitlücken sind geschlossen, aber die Assetzuordnung ist nicht überall final bestätigt.</x:v>
      </x:c>
      <x:c r="H11" s="131" t="str">
        <x:v>Restliche zugängliche Namen gegen die tatsächlich eingesetzten Assets prüfen.</x:v>
      </x:c>
      <x:c r="I11" s="131" t="str">
        <x:v>Keine sichtbare deutsche Rechtsseite mehr; verbleibend ist Verifikationsarbeit.</x:v>
      </x:c>
      <x:c r="J11" s="131" t="str">
        <x:v>P27 · Restprüfung</x:v>
      </x:c>
    </x:row>
    <x:row r="12" ht="21.600000381469727" hidden="0" customHeight="1">
      <x:c r="A12" s="131" t="str">
        <x:v>Französisch (fr-FR)</x:v>
      </x:c>
      <x:c r="B12" s="131" t="str">
        <x:v>P27 SEO et accessibilité – périmètre restant</x:v>
      </x:c>
      <x:c r="C12" s="131" t="str">
        <x:v>Quelques textes alt/ARIA/titres</x:v>
      </x:c>
      <x:c r="D12" s="131" t="str">
        <x:v>Les métadonnées juridiques et le libellé de carte sont corrigés ; un périmètre réduit reste à vérifier.</x:v>
      </x:c>
      <x:c r="E12" s="131" t="str">
        <x:v>Mittel</x:v>
      </x:c>
      <x:c r="F12" s="131" t="str">
        <x:v>Accessibility / Metadaten</x:v>
      </x:c>
      <x:c r="G12" s="131" t="str">
        <x:v>Die größten Laufzeitlücken sind geschlossen, aber die Assetzuordnung ist nicht überall final bestätigt.</x:v>
      </x:c>
      <x:c r="H12" s="131" t="str">
        <x:v>Vérifier les derniers noms accessibles par rapport aux visuels réellement utilisés.</x:v>
      </x:c>
      <x:c r="I12" s="131" t="str">
        <x:v>Keine sichtbare deutsche Rechtsseite mehr; verbleibend ist Verifikationsarbeit.</x:v>
      </x:c>
      <x:c r="J12" s="131" t="str">
        <x:v>P27 · Restprüfung</x:v>
      </x:c>
    </x:row>
    <x:row r="13" ht="21.600000381469727" hidden="0" customHeight="1">
      <x:c r="A13" s="131" t="str">
        <x:v>DA/ES/NL/NB/SV</x:v>
      </x:c>
      <x:c r="B13" s="131" t="str">
        <x:v>P16 Technische Option</x:v>
      </x:c>
      <x:c r="C13" s="131" t="str">
        <x:v>Joystick EVC 2.0 &amp; D E (Volvo Penta)</x:v>
      </x:c>
      <x:c r="D13" s="131" t="str">
        <x:v>Als technische Bezeichnung unverändert belassen.</x:v>
      </x:c>
      <x:c r="E13" s="131" t="str">
        <x:v>Mittel</x:v>
      </x:c>
      <x:c r="F13" s="131" t="str">
        <x:v>Quelltext / Produktfreigabe</x:v>
      </x:c>
      <x:c r="G13" s="131" t="str">
        <x:v>Die Modell-/Variantenbedeutung bleibt ohne Herstellerfreigabe uneindeutig.</x:v>
      </x:c>
      <x:c r="H13" s="131" t="str">
        <x:v>Nach technischer Freigabe vereinheitlichen; bis dahin DO_NOT_TRANSLATE.</x:v>
      </x:c>
      <x:c r="I13" s="131" t="str">
        <x:v>Keine sichere sprachliche Entscheidung ohne Produktkontext.</x:v>
      </x:c>
      <x:c r="J13" s="131" t="str">
        <x:v>configurator.volvo.joystick_evc_20_de</x:v>
      </x:c>
    </x:row>
    <x:row r="14" ht="21.600000381469727" hidden="0" customHeight="1">
      <x:c r="A14"/>
      <x:c r="B14"/>
      <x:c r="C14"/>
      <x:c r="D14"/>
      <x:c r="E14"/>
      <x:c r="F14"/>
      <x:c r="G14"/>
      <x:c r="H14"/>
      <x:c r="I14"/>
      <x:c r="J14"/>
    </x:row>
    <x:row r="15" ht="21.600000381469727" hidden="0" customHeight="1">
      <x:c r="A15"/>
      <x:c r="B15"/>
      <x:c r="C15"/>
      <x:c r="D15"/>
      <x:c r="E15"/>
      <x:c r="F15"/>
      <x:c r="G15"/>
      <x:c r="H15"/>
      <x:c r="I15"/>
      <x:c r="J15"/>
    </x:row>
    <x:row r="16" ht="21.600000381469727" hidden="0" customHeight="1">
      <x:c r="A16"/>
      <x:c r="B16"/>
      <x:c r="C16"/>
      <x:c r="D16"/>
      <x:c r="E16"/>
      <x:c r="F16"/>
      <x:c r="G16"/>
      <x:c r="H16"/>
      <x:c r="I16"/>
      <x:c r="J16"/>
    </x:row>
    <x:row r="17" ht="21.600000381469727" hidden="0" customHeight="1">
      <x:c r="A17"/>
      <x:c r="B17"/>
      <x:c r="C17"/>
      <x:c r="D17"/>
      <x:c r="E17"/>
      <x:c r="F17"/>
      <x:c r="G17"/>
      <x:c r="H17"/>
      <x:c r="I17"/>
      <x:c r="J17"/>
    </x:row>
    <x:row r="18" ht="21.600000381469727" hidden="0" customHeight="1">
      <x:c r="A18"/>
      <x:c r="B18"/>
      <x:c r="C18"/>
      <x:c r="D18"/>
      <x:c r="E18"/>
      <x:c r="F18"/>
      <x:c r="G18"/>
      <x:c r="H18"/>
      <x:c r="I18"/>
      <x:c r="J18"/>
    </x:row>
    <x:row r="19" ht="21.600000381469727" hidden="0" customHeight="1">
      <x:c r="A19"/>
      <x:c r="B19"/>
      <x:c r="C19"/>
      <x:c r="D19"/>
      <x:c r="E19"/>
      <x:c r="F19"/>
      <x:c r="G19"/>
      <x:c r="H19"/>
      <x:c r="I19"/>
      <x:c r="J19"/>
    </x:row>
    <x:row r="20" ht="21.600000381469727" hidden="0" customHeight="1">
      <x:c r="A20"/>
      <x:c r="B20"/>
      <x:c r="C20"/>
      <x:c r="D20"/>
      <x:c r="E20"/>
      <x:c r="F20"/>
      <x:c r="G20"/>
      <x:c r="H20"/>
      <x:c r="I20"/>
      <x:c r="J20"/>
    </x:row>
    <x:row r="21" ht="21.600000381469727" hidden="0" customHeight="1">
      <x:c r="A21"/>
      <x:c r="B21"/>
      <x:c r="C21"/>
      <x:c r="D21"/>
      <x:c r="E21"/>
      <x:c r="F21"/>
      <x:c r="G21"/>
      <x:c r="H21"/>
      <x:c r="I21"/>
      <x:c r="J21"/>
    </x:row>
    <x:row r="22" ht="21.600000381469727" hidden="0" customHeight="1">
      <x:c r="A22"/>
      <x:c r="B22"/>
      <x:c r="C22"/>
      <x:c r="D22"/>
      <x:c r="E22"/>
      <x:c r="F22"/>
      <x:c r="G22"/>
      <x:c r="H22"/>
      <x:c r="I22"/>
      <x:c r="J22"/>
    </x:row>
    <x:row r="23" ht="43.20000076293945" hidden="0" customHeight="1">
      <x:c r="A23"/>
      <x:c r="B23"/>
      <x:c r="C23"/>
      <x:c r="D23"/>
      <x:c r="E23"/>
      <x:c r="F23"/>
      <x:c r="G23"/>
      <x:c r="H23"/>
      <x:c r="I23"/>
      <x:c r="J23"/>
    </x:row>
    <x:row r="24" ht="21.600000381469727" hidden="0" customHeight="1">
      <x:c r="A24"/>
      <x:c r="B24"/>
      <x:c r="C24"/>
      <x:c r="D24"/>
      <x:c r="E24"/>
      <x:c r="F24"/>
      <x:c r="G24"/>
      <x:c r="H24"/>
      <x:c r="I24"/>
      <x:c r="J24"/>
    </x:row>
    <x:row r="25" ht="21.600000381469727" hidden="0" customHeight="1">
      <x:c r="A25"/>
      <x:c r="B25"/>
      <x:c r="C25"/>
      <x:c r="D25"/>
      <x:c r="E25"/>
      <x:c r="F25"/>
      <x:c r="G25"/>
      <x:c r="H25"/>
      <x:c r="I25"/>
      <x:c r="J25"/>
    </x:row>
    <x:row r="26" ht="21.600000381469727" hidden="0" customHeight="1">
      <x:c r="A26"/>
      <x:c r="B26"/>
      <x:c r="C26"/>
      <x:c r="D26"/>
      <x:c r="E26"/>
      <x:c r="F26"/>
      <x:c r="G26"/>
      <x:c r="H26"/>
      <x:c r="I26"/>
      <x:c r="J26"/>
    </x:row>
    <x:row r="27" ht="21.600000381469727" hidden="0" customHeight="1">
      <x:c r="A27"/>
      <x:c r="B27"/>
      <x:c r="C27"/>
      <x:c r="D27"/>
      <x:c r="E27"/>
      <x:c r="F27"/>
      <x:c r="G27"/>
      <x:c r="H27"/>
      <x:c r="I27"/>
      <x:c r="J27"/>
    </x:row>
    <x:row r="28" ht="21.600000381469727" hidden="0" customHeight="1">
      <x:c r="A28"/>
      <x:c r="B28"/>
      <x:c r="C28"/>
      <x:c r="D28"/>
      <x:c r="E28"/>
      <x:c r="F28"/>
      <x:c r="G28"/>
      <x:c r="H28"/>
      <x:c r="I28"/>
      <x:c r="J28"/>
    </x:row>
    <x:row r="29" ht="21.600000381469727" hidden="0" customHeight="1">
      <x:c r="A29"/>
      <x:c r="B29"/>
      <x:c r="C29"/>
      <x:c r="D29"/>
      <x:c r="E29"/>
      <x:c r="F29"/>
      <x:c r="G29"/>
      <x:c r="H29"/>
      <x:c r="I29"/>
      <x:c r="J29"/>
    </x:row>
    <x:row r="30" ht="21.600000381469727" hidden="0" customHeight="1">
      <x:c r="A30"/>
      <x:c r="B30"/>
      <x:c r="C30"/>
      <x:c r="D30"/>
      <x:c r="E30"/>
      <x:c r="F30"/>
      <x:c r="G30"/>
      <x:c r="H30"/>
      <x:c r="I30"/>
      <x:c r="J30"/>
    </x:row>
    <x:row r="31" ht="21.600000381469727" hidden="0" customHeight="1">
      <x:c r="A31"/>
      <x:c r="B31"/>
      <x:c r="C31"/>
      <x:c r="D31"/>
      <x:c r="E31"/>
      <x:c r="F31"/>
      <x:c r="G31"/>
      <x:c r="H31"/>
      <x:c r="I31"/>
      <x:c r="J31"/>
    </x:row>
    <x:row r="32" ht="21.600000381469727" hidden="0" customHeight="1">
      <x:c r="A32"/>
      <x:c r="B32"/>
      <x:c r="C32"/>
      <x:c r="D32"/>
      <x:c r="E32"/>
      <x:c r="F32"/>
      <x:c r="G32"/>
      <x:c r="H32"/>
      <x:c r="I32"/>
      <x:c r="J32"/>
    </x:row>
    <x:row r="33" ht="32.400001525878906" hidden="0" customHeight="1">
      <x:c r="A33"/>
      <x:c r="B33"/>
      <x:c r="C33"/>
      <x:c r="D33"/>
      <x:c r="E33"/>
      <x:c r="F33"/>
      <x:c r="G33"/>
      <x:c r="H33"/>
      <x:c r="I33"/>
      <x:c r="J33"/>
    </x:row>
    <x:row r="34" ht="32.400001525878906" hidden="0" customHeight="1">
      <x:c r="A34"/>
      <x:c r="B34"/>
      <x:c r="C34"/>
      <x:c r="D34"/>
      <x:c r="E34"/>
      <x:c r="F34"/>
      <x:c r="G34"/>
      <x:c r="H34"/>
      <x:c r="I34"/>
      <x:c r="J34"/>
    </x:row>
    <x:row r="35" ht="32.400001525878906" hidden="0" customHeight="1">
      <x:c r="A35"/>
      <x:c r="B35"/>
      <x:c r="C35"/>
      <x:c r="D35"/>
      <x:c r="E35"/>
      <x:c r="F35"/>
      <x:c r="G35"/>
      <x:c r="H35"/>
      <x:c r="I35"/>
      <x:c r="J35"/>
    </x:row>
    <x:row r="36" ht="43.20000076293945" hidden="0" customHeight="1">
      <x:c r="A36"/>
      <x:c r="B36"/>
      <x:c r="C36"/>
      <x:c r="D36"/>
      <x:c r="E36"/>
      <x:c r="F36"/>
      <x:c r="G36"/>
      <x:c r="H36"/>
      <x:c r="I36"/>
      <x:c r="J36"/>
    </x:row>
    <x:row r="37" ht="32.400001525878906" hidden="0" customHeight="1">
      <x:c r="A37"/>
      <x:c r="B37"/>
      <x:c r="C37"/>
      <x:c r="D37"/>
      <x:c r="E37"/>
      <x:c r="F37"/>
      <x:c r="G37"/>
      <x:c r="H37"/>
      <x:c r="I37"/>
      <x:c r="J37"/>
    </x:row>
    <x:row r="38" ht="32.400001525878906" hidden="0" customHeight="1">
      <x:c r="A38"/>
      <x:c r="B38"/>
      <x:c r="C38"/>
      <x:c r="D38"/>
      <x:c r="E38"/>
      <x:c r="F38"/>
      <x:c r="G38"/>
      <x:c r="H38"/>
      <x:c r="I38"/>
      <x:c r="J38"/>
    </x:row>
    <x:row r="39" ht="32.400001525878906" hidden="0" customHeight="1">
      <x:c r="A39"/>
      <x:c r="B39"/>
      <x:c r="C39"/>
      <x:c r="D39"/>
      <x:c r="E39"/>
      <x:c r="F39"/>
      <x:c r="G39"/>
      <x:c r="H39"/>
      <x:c r="I39"/>
      <x:c r="J39"/>
    </x:row>
    <x:row r="40" ht="43.20000076293945" hidden="0" customHeight="1">
      <x:c r="A40"/>
      <x:c r="B40"/>
      <x:c r="C40"/>
      <x:c r="D40"/>
      <x:c r="E40"/>
      <x:c r="F40"/>
      <x:c r="G40"/>
      <x:c r="H40"/>
      <x:c r="I40"/>
      <x:c r="J40"/>
    </x:row>
    <x:row r="41" ht="32.400001525878906" hidden="0" customHeight="1">
      <x:c r="A41"/>
      <x:c r="B41"/>
      <x:c r="C41"/>
      <x:c r="D41"/>
      <x:c r="E41"/>
      <x:c r="F41"/>
      <x:c r="G41"/>
      <x:c r="H41"/>
      <x:c r="I41"/>
      <x:c r="J41"/>
    </x:row>
    <x:row r="42" ht="32.400001525878906" hidden="0" customHeight="1">
      <x:c r="A42"/>
      <x:c r="B42"/>
      <x:c r="C42"/>
      <x:c r="D42"/>
      <x:c r="E42"/>
      <x:c r="F42"/>
      <x:c r="G42"/>
      <x:c r="H42"/>
      <x:c r="I42"/>
      <x:c r="J42"/>
    </x:row>
    <x:row r="43" ht="32.400001525878906" hidden="0" customHeight="1">
      <x:c r="A43"/>
      <x:c r="B43"/>
      <x:c r="C43"/>
      <x:c r="D43"/>
      <x:c r="E43"/>
      <x:c r="F43"/>
      <x:c r="G43"/>
      <x:c r="H43"/>
      <x:c r="I43"/>
      <x:c r="J43"/>
    </x:row>
    <x:row r="44" ht="43.20000076293945" hidden="0" customHeight="1">
      <x:c r="A44"/>
      <x:c r="B44"/>
      <x:c r="C44"/>
      <x:c r="D44"/>
      <x:c r="E44"/>
      <x:c r="F44"/>
      <x:c r="G44"/>
      <x:c r="H44"/>
      <x:c r="I44"/>
      <x:c r="J44"/>
    </x:row>
    <x:row r="45" ht="32.400001525878906" hidden="0" customHeight="1">
      <x:c r="A45"/>
      <x:c r="B45"/>
      <x:c r="C45"/>
      <x:c r="D45"/>
      <x:c r="E45"/>
      <x:c r="F45"/>
      <x:c r="G45"/>
      <x:c r="H45"/>
      <x:c r="I45"/>
      <x:c r="J45"/>
    </x:row>
    <x:row r="46" ht="32.400001525878906" hidden="0" customHeight="1">
      <x:c r="A46"/>
      <x:c r="B46"/>
      <x:c r="C46"/>
      <x:c r="D46"/>
      <x:c r="E46"/>
      <x:c r="F46"/>
      <x:c r="G46"/>
      <x:c r="H46"/>
      <x:c r="I46"/>
      <x:c r="J46"/>
    </x:row>
    <x:row r="47" ht="32.400001525878906" hidden="0" customHeight="1">
      <x:c r="A47"/>
      <x:c r="B47"/>
      <x:c r="C47"/>
      <x:c r="D47"/>
      <x:c r="E47"/>
      <x:c r="F47"/>
      <x:c r="G47"/>
      <x:c r="H47"/>
      <x:c r="I47"/>
      <x:c r="J47"/>
    </x:row>
    <x:row r="48" ht="43.20000076293945" hidden="0" customHeight="1">
      <x:c r="A48"/>
      <x:c r="B48"/>
      <x:c r="C48"/>
      <x:c r="D48"/>
      <x:c r="E48"/>
      <x:c r="F48"/>
      <x:c r="G48"/>
      <x:c r="H48"/>
      <x:c r="I48"/>
      <x:c r="J48"/>
    </x:row>
    <x:row r="49" ht="32.400001525878906" hidden="0" customHeight="1">
      <x:c r="A49"/>
      <x:c r="B49"/>
      <x:c r="C49"/>
      <x:c r="D49"/>
      <x:c r="E49"/>
      <x:c r="F49"/>
      <x:c r="G49"/>
      <x:c r="H49"/>
      <x:c r="I49"/>
      <x:c r="J49"/>
    </x:row>
    <x:row r="50" ht="108" hidden="0" customHeight="1">
      <x:c r="A50"/>
      <x:c r="B50"/>
      <x:c r="C50"/>
      <x:c r="D50"/>
      <x:c r="E50"/>
      <x:c r="F50"/>
      <x:c r="G50"/>
      <x:c r="H50"/>
      <x:c r="I50"/>
      <x:c r="J50"/>
    </x:row>
    <x:row r="51" ht="32.400001525878906" hidden="0" customHeight="1">
      <x:c r="A51"/>
      <x:c r="B51"/>
      <x:c r="C51"/>
      <x:c r="D51"/>
      <x:c r="E51"/>
      <x:c r="F51"/>
      <x:c r="G51"/>
      <x:c r="H51"/>
      <x:c r="I51"/>
      <x:c r="J51"/>
    </x:row>
    <x:row r="52" ht="21.600000381469727" hidden="0" customHeight="1">
      <x:c r="A52"/>
      <x:c r="B52"/>
      <x:c r="C52"/>
      <x:c r="D52"/>
      <x:c r="E52"/>
      <x:c r="F52"/>
      <x:c r="G52"/>
      <x:c r="H52"/>
      <x:c r="I52"/>
      <x:c r="J52"/>
    </x:row>
    <x:row r="53" ht="21.600000381469727" hidden="0" customHeight="1">
      <x:c r="A53"/>
      <x:c r="B53"/>
      <x:c r="C53"/>
      <x:c r="D53"/>
      <x:c r="E53"/>
      <x:c r="F53"/>
      <x:c r="G53"/>
      <x:c r="H53"/>
      <x:c r="I53"/>
      <x:c r="J53"/>
    </x:row>
    <x:row r="54" ht="21.600000381469727" hidden="0" customHeight="1">
      <x:c r="A54"/>
      <x:c r="B54"/>
      <x:c r="C54"/>
      <x:c r="D54"/>
      <x:c r="E54"/>
      <x:c r="F54"/>
      <x:c r="G54"/>
      <x:c r="H54"/>
      <x:c r="I54"/>
      <x:c r="J54"/>
    </x:row>
    <x:row r="55" ht="21.600000381469727" hidden="0" customHeight="1">
      <x:c r="A55"/>
      <x:c r="B55"/>
      <x:c r="C55"/>
      <x:c r="D55"/>
      <x:c r="E55"/>
      <x:c r="F55"/>
      <x:c r="G55"/>
      <x:c r="H55"/>
      <x:c r="I55"/>
      <x:c r="J55"/>
    </x:row>
    <x:row r="56" ht="32.400001525878906" hidden="0" customHeight="1">
      <x:c r="A56"/>
      <x:c r="B56"/>
      <x:c r="C56"/>
      <x:c r="D56"/>
      <x:c r="E56"/>
      <x:c r="F56"/>
      <x:c r="G56"/>
      <x:c r="H56"/>
      <x:c r="I56"/>
      <x:c r="J56"/>
    </x:row>
    <x:row r="57" ht="108" hidden="0" customHeight="1">
      <x:c r="A57"/>
      <x:c r="B57"/>
      <x:c r="C57"/>
      <x:c r="D57"/>
      <x:c r="E57"/>
      <x:c r="F57"/>
      <x:c r="G57"/>
      <x:c r="H57"/>
      <x:c r="I57"/>
      <x:c r="J57"/>
    </x:row>
    <x:row r="58" ht="108" hidden="0" customHeight="1">
      <x:c r="A58"/>
      <x:c r="B58"/>
      <x:c r="C58"/>
      <x:c r="D58"/>
      <x:c r="E58"/>
      <x:c r="F58"/>
      <x:c r="G58"/>
      <x:c r="H58"/>
      <x:c r="I58"/>
      <x:c r="J58"/>
    </x:row>
    <x:row r="59" ht="32.400001525878906" hidden="0" customHeight="1">
      <x:c r="A59"/>
      <x:c r="B59"/>
      <x:c r="C59"/>
      <x:c r="D59"/>
      <x:c r="E59"/>
      <x:c r="F59"/>
      <x:c r="G59"/>
      <x:c r="H59"/>
      <x:c r="I59"/>
      <x:c r="J59"/>
    </x:row>
    <x:row r="60" ht="43.20000076293945" hidden="0" customHeight="1">
      <x:c r="A60"/>
      <x:c r="B60"/>
      <x:c r="C60"/>
      <x:c r="D60"/>
      <x:c r="E60"/>
      <x:c r="F60"/>
      <x:c r="G60"/>
      <x:c r="H60"/>
      <x:c r="I60"/>
      <x:c r="J60"/>
    </x:row>
    <x:row r="61" ht="21.600000381469727" hidden="0" customHeight="1">
      <x:c r="A61"/>
      <x:c r="B61"/>
      <x:c r="C61"/>
      <x:c r="D61"/>
      <x:c r="E61"/>
      <x:c r="F61"/>
      <x:c r="G61"/>
      <x:c r="H61"/>
      <x:c r="I61"/>
      <x:c r="J61"/>
    </x:row>
    <x:row r="62" ht="108" hidden="0" customHeight="1">
      <x:c r="A62"/>
      <x:c r="B62"/>
      <x:c r="C62"/>
      <x:c r="D62"/>
      <x:c r="E62"/>
      <x:c r="F62"/>
      <x:c r="G62"/>
      <x:c r="H62"/>
      <x:c r="I62"/>
      <x:c r="J62"/>
    </x:row>
    <x:row r="63" ht="32.400001525878906" hidden="0" customHeight="1">
      <x:c r="A63"/>
      <x:c r="B63"/>
      <x:c r="C63"/>
      <x:c r="D63"/>
      <x:c r="E63"/>
      <x:c r="F63"/>
      <x:c r="G63"/>
      <x:c r="H63"/>
      <x:c r="I63"/>
      <x:c r="J63"/>
    </x:row>
    <x:row r="64" ht="43.20000076293945" hidden="0" customHeight="1">
      <x:c r="A64"/>
      <x:c r="B64"/>
      <x:c r="C64"/>
      <x:c r="D64"/>
      <x:c r="E64"/>
      <x:c r="F64"/>
      <x:c r="G64"/>
      <x:c r="H64"/>
      <x:c r="I64"/>
      <x:c r="J64"/>
    </x:row>
    <x:row r="65" ht="21.600000381469727" hidden="0" customHeight="1">
      <x:c r="A65"/>
      <x:c r="B65"/>
      <x:c r="C65"/>
      <x:c r="D65"/>
      <x:c r="E65"/>
      <x:c r="F65"/>
      <x:c r="G65"/>
      <x:c r="H65"/>
      <x:c r="I65"/>
      <x:c r="J65"/>
    </x:row>
    <x:row r="66" ht="21.600000381469727" hidden="0" customHeight="1">
      <x:c r="A66"/>
      <x:c r="B66"/>
      <x:c r="C66"/>
      <x:c r="D66"/>
      <x:c r="E66"/>
      <x:c r="F66"/>
      <x:c r="G66"/>
      <x:c r="H66"/>
      <x:c r="I66"/>
      <x:c r="J66"/>
    </x:row>
    <x:row r="67" ht="108" hidden="0" customHeight="1">
      <x:c r="A67"/>
      <x:c r="B67"/>
      <x:c r="C67"/>
      <x:c r="D67"/>
      <x:c r="E67"/>
      <x:c r="F67"/>
      <x:c r="G67"/>
      <x:c r="H67"/>
      <x:c r="I67"/>
      <x:c r="J67"/>
    </x:row>
    <x:row r="68" ht="32.400001525878906" hidden="0" customHeight="1">
      <x:c r="A68"/>
      <x:c r="B68"/>
      <x:c r="C68"/>
      <x:c r="D68"/>
      <x:c r="E68"/>
      <x:c r="F68"/>
      <x:c r="G68"/>
      <x:c r="H68"/>
      <x:c r="I68"/>
      <x:c r="J68"/>
    </x:row>
    <x:row r="69" ht="21.600000381469727" hidden="0" customHeight="1">
      <x:c r="A69"/>
      <x:c r="B69"/>
      <x:c r="C69"/>
      <x:c r="D69"/>
      <x:c r="E69"/>
      <x:c r="F69"/>
      <x:c r="G69"/>
      <x:c r="H69"/>
      <x:c r="I69"/>
      <x:c r="J69"/>
    </x:row>
    <x:row r="70" ht="32.400001525878906" hidden="0" customHeight="1">
      <x:c r="A70"/>
      <x:c r="B70"/>
      <x:c r="C70"/>
      <x:c r="D70"/>
      <x:c r="E70"/>
      <x:c r="F70"/>
      <x:c r="G70"/>
      <x:c r="H70"/>
      <x:c r="I70"/>
      <x:c r="J70"/>
    </x:row>
    <x:row r="71" ht="21.600000381469727" hidden="0" customHeight="1">
      <x:c r="A71"/>
      <x:c r="B71"/>
      <x:c r="C71"/>
      <x:c r="D71"/>
      <x:c r="E71"/>
      <x:c r="F71"/>
      <x:c r="G71"/>
      <x:c r="H71"/>
      <x:c r="I71"/>
      <x:c r="J71"/>
    </x:row>
    <x:row r="72" ht="21.600000381469727" hidden="0" customHeight="1">
      <x:c r="A72"/>
      <x:c r="B72"/>
      <x:c r="C72"/>
      <x:c r="D72"/>
      <x:c r="E72"/>
      <x:c r="F72"/>
      <x:c r="G72"/>
      <x:c r="H72"/>
      <x:c r="I72"/>
      <x:c r="J72"/>
    </x:row>
    <x:row r="73" ht="21.600000381469727" hidden="0" customHeight="1">
      <x:c r="A73"/>
      <x:c r="B73"/>
      <x:c r="C73"/>
      <x:c r="D73"/>
      <x:c r="E73"/>
      <x:c r="F73"/>
      <x:c r="G73"/>
      <x:c r="H73"/>
      <x:c r="I73"/>
      <x:c r="J73"/>
    </x:row>
    <x:row r="74" ht="21.600000381469727" hidden="0" customHeight="1">
      <x:c r="A74"/>
      <x:c r="B74"/>
      <x:c r="C74"/>
      <x:c r="D74"/>
      <x:c r="E74"/>
      <x:c r="F74"/>
      <x:c r="G74"/>
      <x:c r="H74"/>
      <x:c r="I74"/>
      <x:c r="J74"/>
    </x:row>
    <x:row r="75" ht="21.600000381469727" hidden="0" customHeight="1">
      <x:c r="A75"/>
      <x:c r="B75"/>
      <x:c r="C75"/>
      <x:c r="D75"/>
      <x:c r="E75"/>
      <x:c r="F75"/>
      <x:c r="G75"/>
      <x:c r="H75"/>
      <x:c r="I75"/>
      <x:c r="J75"/>
    </x:row>
  </x:sheetData>
  <x:conditionalFormatting sqref="A2:J43">
    <x:cfRule type="expression" dxfId="0" priority="1">
      <x:formula>$E2="Kritisch"</x:formula>
    </x:cfRule>
    <x:cfRule type="expression" dxfId="1" priority="2">
      <x:formula>$E2="Hoch"</x:formula>
    </x:cfRule>
    <x:cfRule type="expression" dxfId="2" priority="3">
      <x:formula>$E2="Mittel"</x:formula>
    </x:cfRule>
    <x:cfRule type="expression" dxfId="3" priority="4">
      <x:formula>$E2="Niedrig"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189c4b9ff5342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36" hidden="0" customWidth="1"/>
    <x:col min="4" max="4" width="15" hidden="0" customWidth="1"/>
    <x:col min="5" max="5" width="13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58" hidden="0" customWidth="1"/>
  </x:cols>
  <x:sheetData>
    <x:row r="1">
      <x:c r="A1" s="76" t="str">
        <x:v>Zielsprache</x:v>
      </x:c>
      <x:c r="B1" s="77" t="str">
        <x:v>Paket</x:v>
      </x:c>
      <x:c r="C1" s="77" t="str">
        <x:v>Seite</x:v>
      </x:c>
      <x:c r="D1" s="77" t="str">
        <x:v>Inhaltliche Genauigkeit</x:v>
      </x:c>
      <x:c r="E1" s="77" t="str">
        <x:v>Natürlichkeit</x:v>
      </x:c>
      <x:c r="F1" s="77" t="str">
        <x:v>Grammatik</x:v>
      </x:c>
      <x:c r="G1" s="77" t="str">
        <x:v>Terminologie</x:v>
      </x:c>
      <x:c r="H1" s="77" t="str">
        <x:v>Konsistenz</x:v>
      </x:c>
      <x:c r="I1" s="77" t="str">
        <x:v>Gesamtqualität</x:v>
      </x:c>
      <x:c r="J1" s="78" t="str">
        <x:v>Kurzkommentar</x:v>
      </x:c>
    </x:row>
    <x:row r="2" ht="21.600000381469727" hidden="0" customHeight="1">
      <x:c r="A2" s="97" t="str">
        <x:v>Englisch (en)</x:v>
      </x:c>
      <x:c r="B2" s="97" t="str">
        <x:v>P00</x:v>
      </x:c>
      <x:c r="C2" s="97" t="str">
        <x:v>Globale UI-Texte</x:v>
      </x:c>
      <x:c r="D2" s="98" t="n">
        <x:v>98</x:v>
      </x:c>
      <x:c r="E2" s="98" t="n">
        <x:v>97</x:v>
      </x:c>
      <x:c r="F2" s="98" t="n">
        <x:v>98</x:v>
      </x:c>
      <x:c r="G2" s="98" t="n">
        <x:v>97</x:v>
      </x:c>
      <x:c r="H2" s="98" t="n">
        <x:v>97</x:v>
      </x:c>
      <x:c r="I2" s="98" t="n">
        <x:f>ROUND(AVERAGE(D2:H2),1)</x:f>
        <x:v>97.4</x:v>
      </x:c>
      <x:c r="J2" s="97" t="str">
        <x:v>Sehr gute bis praktisch muttersprachliche Übersetzungsqualität; keine relevanten offenen Einzelprobleme im geprüften Paket.</x:v>
      </x:c>
    </x:row>
    <x:row r="3" ht="21.600000381469727" hidden="0" customHeight="1">
      <x:c r="A3" s="99" t="str">
        <x:v>Französisch (fr-FR)</x:v>
      </x:c>
      <x:c r="B3" s="99" t="str">
        <x:v>P00</x:v>
      </x:c>
      <x:c r="C3" s="99" t="str">
        <x:v>Globale UI-Texte</x:v>
      </x:c>
      <x:c r="D3" s="100" t="n">
        <x:v>98</x:v>
      </x:c>
      <x:c r="E3" s="100" t="n">
        <x:v>97</x:v>
      </x:c>
      <x:c r="F3" s="100" t="n">
        <x:v>98</x:v>
      </x:c>
      <x:c r="G3" s="100" t="n">
        <x:v>97</x:v>
      </x:c>
      <x:c r="H3" s="100" t="n">
        <x:v>97</x:v>
      </x:c>
      <x:c r="I3" s="100" t="n">
        <x:f>ROUND(AVERAGE(D3:H3),1)</x:f>
        <x:v>97.4</x:v>
      </x:c>
      <x:c r="J3" s="99" t="str">
        <x:v>Sehr gute bis praktisch muttersprachliche Übersetzungsqualität; keine relevanten offenen Einzelprobleme im geprüften Paket.</x:v>
      </x:c>
    </x:row>
    <x:row r="4" ht="21.600000381469727" hidden="0" customHeight="1">
      <x:c r="A4" s="97" t="str">
        <x:v>Dänisch (da-DK)</x:v>
      </x:c>
      <x:c r="B4" s="97" t="str">
        <x:v>P00</x:v>
      </x:c>
      <x:c r="C4" s="97" t="str">
        <x:v>Globale UI-Texte</x:v>
      </x:c>
      <x:c r="D4" s="98" t="n">
        <x:v>98.7</x:v>
      </x:c>
      <x:c r="E4" s="98" t="n">
        <x:v>97.7</x:v>
      </x:c>
      <x:c r="F4" s="98" t="n">
        <x:v>98.7</x:v>
      </x:c>
      <x:c r="G4" s="98" t="n">
        <x:v>97.7</x:v>
      </x:c>
      <x:c r="H4" s="98" t="n">
        <x:v>97.7</x:v>
      </x:c>
      <x:c r="I4" s="98" t="n">
        <x:f>ROUND(AVERAGE(D4:H4),1)</x:f>
        <x:v>98.1</x:v>
      </x:c>
      <x:c r="J4" s="97" t="str">
        <x:v>Sehr gute bis praktisch muttersprachliche Übersetzungsqualität; keine relevanten Einzelprobleme im geprüften Paket.</x:v>
      </x:c>
    </x:row>
    <x:row r="5" ht="21.600000381469727" hidden="0" customHeight="1">
      <x:c r="A5" s="99" t="str">
        <x:v>Spanisch (es-ES)</x:v>
      </x:c>
      <x:c r="B5" s="99" t="str">
        <x:v>P00</x:v>
      </x:c>
      <x:c r="C5" s="99" t="str">
        <x:v>Globale UI-Texte</x:v>
      </x:c>
      <x:c r="D5" s="100" t="n">
        <x:v>98.7</x:v>
      </x:c>
      <x:c r="E5" s="100" t="n">
        <x:v>97.7</x:v>
      </x:c>
      <x:c r="F5" s="100" t="n">
        <x:v>98.7</x:v>
      </x:c>
      <x:c r="G5" s="100" t="n">
        <x:v>97.7</x:v>
      </x:c>
      <x:c r="H5" s="100" t="n">
        <x:v>97.7</x:v>
      </x:c>
      <x:c r="I5" s="100" t="n">
        <x:f>ROUND(AVERAGE(D5:H5),1)</x:f>
        <x:v>98.1</x:v>
      </x:c>
      <x:c r="J5" s="99" t="str">
        <x:v>Sehr gute bis praktisch muttersprachliche Übersetzungsqualität; keine relevanten Einzelprobleme im geprüften Paket.</x:v>
      </x:c>
    </x:row>
    <x:row r="6" ht="21.600000381469727" hidden="0" customHeight="1">
      <x:c r="A6" s="97" t="str">
        <x:v>Niederländisch (nl-NL)</x:v>
      </x:c>
      <x:c r="B6" s="97" t="str">
        <x:v>P00</x:v>
      </x:c>
      <x:c r="C6" s="97" t="str">
        <x:v>Globale UI-Texte</x:v>
      </x:c>
      <x:c r="D6" s="98" t="n">
        <x:v>98.7</x:v>
      </x:c>
      <x:c r="E6" s="98" t="n">
        <x:v>97.7</x:v>
      </x:c>
      <x:c r="F6" s="98" t="n">
        <x:v>98.7</x:v>
      </x:c>
      <x:c r="G6" s="98" t="n">
        <x:v>97.7</x:v>
      </x:c>
      <x:c r="H6" s="98" t="n">
        <x:v>97.7</x:v>
      </x:c>
      <x:c r="I6" s="98" t="n">
        <x:f>ROUND(AVERAGE(D6:H6),1)</x:f>
        <x:v>98.1</x:v>
      </x:c>
      <x:c r="J6" s="97" t="str">
        <x:v>Sehr gute bis praktisch muttersprachliche Übersetzungsqualität; keine relevanten Einzelprobleme im geprüften Paket.</x:v>
      </x:c>
    </x:row>
    <x:row r="7" ht="21.600000381469727" hidden="0" customHeight="1">
      <x:c r="A7" s="99" t="str">
        <x:v>Norwegisch Bokmål (nb-NO)</x:v>
      </x:c>
      <x:c r="B7" s="99" t="str">
        <x:v>P00</x:v>
      </x:c>
      <x:c r="C7" s="99" t="str">
        <x:v>Globale UI-Texte</x:v>
      </x:c>
      <x:c r="D7" s="100" t="n">
        <x:v>98.7</x:v>
      </x:c>
      <x:c r="E7" s="100" t="n">
        <x:v>97.7</x:v>
      </x:c>
      <x:c r="F7" s="100" t="n">
        <x:v>98.7</x:v>
      </x:c>
      <x:c r="G7" s="100" t="n">
        <x:v>97.7</x:v>
      </x:c>
      <x:c r="H7" s="100" t="n">
        <x:v>97.7</x:v>
      </x:c>
      <x:c r="I7" s="100" t="n">
        <x:f>ROUND(AVERAGE(D7:H7),1)</x:f>
        <x:v>98.1</x:v>
      </x:c>
      <x:c r="J7" s="99" t="str">
        <x:v>Sehr gute bis praktisch muttersprachliche Übersetzungsqualität; keine relevanten Einzelprobleme im geprüften Paket.</x:v>
      </x:c>
    </x:row>
    <x:row r="8" ht="21.600000381469727" hidden="0" customHeight="1">
      <x:c r="A8" s="97" t="str">
        <x:v>Schwedisch (sv-SE)</x:v>
      </x:c>
      <x:c r="B8" s="97" t="str">
        <x:v>P00</x:v>
      </x:c>
      <x:c r="C8" s="97" t="str">
        <x:v>Globale UI-Texte</x:v>
      </x:c>
      <x:c r="D8" s="98" t="n">
        <x:v>98.7</x:v>
      </x:c>
      <x:c r="E8" s="98" t="n">
        <x:v>97.7</x:v>
      </x:c>
      <x:c r="F8" s="98" t="n">
        <x:v>98.7</x:v>
      </x:c>
      <x:c r="G8" s="98" t="n">
        <x:v>97.7</x:v>
      </x:c>
      <x:c r="H8" s="98" t="n">
        <x:v>97.7</x:v>
      </x:c>
      <x:c r="I8" s="98" t="n">
        <x:f>ROUND(AVERAGE(D8:H8),1)</x:f>
        <x:v>98.1</x:v>
      </x:c>
      <x:c r="J8" s="97" t="str">
        <x:v>Sehr gute bis praktisch muttersprachliche Übersetzungsqualität; keine relevanten Einzelprobleme im geprüften Paket.</x:v>
      </x:c>
    </x:row>
    <x:row r="9" ht="21.600000381469727" hidden="0" customHeight="1">
      <x:c r="A9" s="99" t="str">
        <x:v>Englisch (en)</x:v>
      </x:c>
      <x:c r="B9" s="99" t="str">
        <x:v>P01</x:v>
      </x:c>
      <x:c r="C9" s="99" t="str">
        <x:v>Homepage – Kerntexte</x:v>
      </x:c>
      <x:c r="D9" s="100" t="n">
        <x:v>98</x:v>
      </x:c>
      <x:c r="E9" s="100" t="n">
        <x:v>97</x:v>
      </x:c>
      <x:c r="F9" s="100" t="n">
        <x:v>98</x:v>
      </x:c>
      <x:c r="G9" s="100" t="n">
        <x:v>98</x:v>
      </x:c>
      <x:c r="H9" s="100" t="n">
        <x:v>97</x:v>
      </x:c>
      <x:c r="I9" s="100" t="n">
        <x:f>ROUND(AVERAGE(D9:H9),1)</x:f>
        <x:v>97.6</x:v>
      </x:c>
      <x:c r="J9" s="99" t="str">
        <x:v>Headline, Register und zentrale Marketingformulierungen wurden sprachlich bereinigt.</x:v>
      </x:c>
    </x:row>
    <x:row r="10" ht="15" hidden="0" customHeight="1">
      <x:c r="A10" s="97" t="str">
        <x:v>Französisch (fr-FR)</x:v>
      </x:c>
      <x:c r="B10" s="97" t="str">
        <x:v>P01</x:v>
      </x:c>
      <x:c r="C10" s="97" t="str">
        <x:v>Homepage – Kerntexte</x:v>
      </x:c>
      <x:c r="D10" s="98" t="n">
        <x:v>98</x:v>
      </x:c>
      <x:c r="E10" s="98" t="n">
        <x:v>97</x:v>
      </x:c>
      <x:c r="F10" s="98" t="n">
        <x:v>98</x:v>
      </x:c>
      <x:c r="G10" s="98" t="n">
        <x:v>98</x:v>
      </x:c>
      <x:c r="H10" s="98" t="n">
        <x:v>96</x:v>
      </x:c>
      <x:c r="I10" s="98" t="n">
        <x:f>ROUND(AVERAGE(D10:H10),1)</x:f>
        <x:v>97.4</x:v>
      </x:c>
      <x:c r="J10" s="97" t="str">
        <x:v>Headline, Register und zentrale Marketingformulierungen wurden sprachlich bereinigt.</x:v>
      </x:c>
    </x:row>
    <x:row r="11" ht="21.600000381469727" hidden="0" customHeight="1">
      <x:c r="A11" s="99" t="str">
        <x:v>Dänisch (da-DK)</x:v>
      </x:c>
      <x:c r="B11" s="99" t="str">
        <x:v>P01</x:v>
      </x:c>
      <x:c r="C11" s="99" t="str">
        <x:v>Homepage – Kerntexte</x:v>
      </x:c>
      <x:c r="D11" s="100" t="n">
        <x:v>98.7</x:v>
      </x:c>
      <x:c r="E11" s="100" t="n">
        <x:v>97.7</x:v>
      </x:c>
      <x:c r="F11" s="100" t="n">
        <x:v>98.7</x:v>
      </x:c>
      <x:c r="G11" s="100" t="n">
        <x:v>97.7</x:v>
      </x:c>
      <x:c r="H11" s="100" t="n">
        <x:v>97.7</x:v>
      </x:c>
      <x:c r="I11" s="100" t="n">
        <x:f>ROUND(AVERAGE(D11:H11),1)</x:f>
        <x:v>98.1</x:v>
      </x:c>
      <x:c r="J11" s="99" t="str">
        <x:v>Sehr gute bis praktisch muttersprachliche Übersetzungsqualität; keine relevanten Einzelprobleme im geprüften Paket.</x:v>
      </x:c>
    </x:row>
    <x:row r="12" ht="21.600000381469727" hidden="0" customHeight="1">
      <x:c r="A12" s="97" t="str">
        <x:v>Spanisch (es-ES)</x:v>
      </x:c>
      <x:c r="B12" s="97" t="str">
        <x:v>P01</x:v>
      </x:c>
      <x:c r="C12" s="97" t="str">
        <x:v>Homepage – Kerntexte</x:v>
      </x:c>
      <x:c r="D12" s="98" t="n">
        <x:v>98.7</x:v>
      </x:c>
      <x:c r="E12" s="98" t="n">
        <x:v>97.7</x:v>
      </x:c>
      <x:c r="F12" s="98" t="n">
        <x:v>98.7</x:v>
      </x:c>
      <x:c r="G12" s="98" t="n">
        <x:v>97.7</x:v>
      </x:c>
      <x:c r="H12" s="98" t="n">
        <x:v>97.7</x:v>
      </x:c>
      <x:c r="I12" s="98" t="n">
        <x:f>ROUND(AVERAGE(D12:H12),1)</x:f>
        <x:v>98.1</x:v>
      </x:c>
      <x:c r="J12" s="97" t="str">
        <x:v>Sehr gute bis praktisch muttersprachliche Übersetzungsqualität; keine relevanten Einzelprobleme im geprüften Paket.</x:v>
      </x:c>
    </x:row>
    <x:row r="13" ht="21.600000381469727" hidden="0" customHeight="1">
      <x:c r="A13" s="99" t="str">
        <x:v>Niederländisch (nl-NL)</x:v>
      </x:c>
      <x:c r="B13" s="99" t="str">
        <x:v>P01</x:v>
      </x:c>
      <x:c r="C13" s="99" t="str">
        <x:v>Homepage – Kerntexte</x:v>
      </x:c>
      <x:c r="D13" s="100" t="n">
        <x:v>98.7</x:v>
      </x:c>
      <x:c r="E13" s="100" t="n">
        <x:v>97.7</x:v>
      </x:c>
      <x:c r="F13" s="100" t="n">
        <x:v>98.7</x:v>
      </x:c>
      <x:c r="G13" s="100" t="n">
        <x:v>97.7</x:v>
      </x:c>
      <x:c r="H13" s="100" t="n">
        <x:v>97.7</x:v>
      </x:c>
      <x:c r="I13" s="100" t="n">
        <x:f>ROUND(AVERAGE(D13:H13),1)</x:f>
        <x:v>98.1</x:v>
      </x:c>
      <x:c r="J13" s="99" t="str">
        <x:v>Sehr gute bis praktisch muttersprachliche Übersetzungsqualität; keine relevanten Einzelprobleme im geprüften Paket.</x:v>
      </x:c>
    </x:row>
    <x:row r="14" ht="21.600000381469727" hidden="0" customHeight="1">
      <x:c r="A14" s="97" t="str">
        <x:v>Norwegisch Bokmål (nb-NO)</x:v>
      </x:c>
      <x:c r="B14" s="97" t="str">
        <x:v>P01</x:v>
      </x:c>
      <x:c r="C14" s="97" t="str">
        <x:v>Homepage – Kerntexte</x:v>
      </x:c>
      <x:c r="D14" s="98" t="n">
        <x:v>98.7</x:v>
      </x:c>
      <x:c r="E14" s="98" t="n">
        <x:v>97.7</x:v>
      </x:c>
      <x:c r="F14" s="98" t="n">
        <x:v>98.7</x:v>
      </x:c>
      <x:c r="G14" s="98" t="n">
        <x:v>97.7</x:v>
      </x:c>
      <x:c r="H14" s="98" t="n">
        <x:v>97.7</x:v>
      </x:c>
      <x:c r="I14" s="98" t="n">
        <x:f>ROUND(AVERAGE(D14:H14),1)</x:f>
        <x:v>98.1</x:v>
      </x:c>
      <x:c r="J14" s="97" t="str">
        <x:v>Sehr gute bis praktisch muttersprachliche Übersetzungsqualität; keine relevanten Einzelprobleme im geprüften Paket.</x:v>
      </x:c>
    </x:row>
    <x:row r="15" ht="21.600000381469727" hidden="0" customHeight="1">
      <x:c r="A15" s="99" t="str">
        <x:v>Schwedisch (sv-SE)</x:v>
      </x:c>
      <x:c r="B15" s="99" t="str">
        <x:v>P01</x:v>
      </x:c>
      <x:c r="C15" s="99" t="str">
        <x:v>Homepage – Kerntexte</x:v>
      </x:c>
      <x:c r="D15" s="100" t="n">
        <x:v>98.7</x:v>
      </x:c>
      <x:c r="E15" s="100" t="n">
        <x:v>97.7</x:v>
      </x:c>
      <x:c r="F15" s="100" t="n">
        <x:v>98.7</x:v>
      </x:c>
      <x:c r="G15" s="100" t="n">
        <x:v>97.7</x:v>
      </x:c>
      <x:c r="H15" s="100" t="n">
        <x:v>97.7</x:v>
      </x:c>
      <x:c r="I15" s="100" t="n">
        <x:f>ROUND(AVERAGE(D15:H15),1)</x:f>
        <x:v>98.1</x:v>
      </x:c>
      <x:c r="J15" s="99" t="str">
        <x:v>Sehr gute bis praktisch muttersprachliche Übersetzungsqualität; keine relevanten Einzelprobleme im geprüften Paket.</x:v>
      </x:c>
    </x:row>
    <x:row r="16" ht="21.600000381469727" hidden="0" customHeight="1">
      <x:c r="A16" s="97" t="str">
        <x:v>Englisch (en)</x:v>
      </x:c>
      <x:c r="B16" s="97" t="str">
        <x:v>P02</x:v>
      </x:c>
      <x:c r="C16" s="97" t="str">
        <x:v>Homepage – Vorteile &amp; Module</x:v>
      </x:c>
      <x:c r="D16" s="98" t="n">
        <x:v>96</x:v>
      </x:c>
      <x:c r="E16" s="98" t="n">
        <x:v>96</x:v>
      </x:c>
      <x:c r="F16" s="98" t="n">
        <x:v>98</x:v>
      </x:c>
      <x:c r="G16" s="98" t="n">
        <x:v>95</x:v>
      </x:c>
      <x:c r="H16" s="98" t="n">
        <x:v>96</x:v>
      </x:c>
      <x:c r="I16" s="98" t="n">
        <x:f>ROUND(AVERAGE(D16:H16),1)</x:f>
        <x:v>96.2</x:v>
      </x:c>
      <x:c r="J16" s="97" t="str">
        <x:v>Übersteigerte Claims und die Ankerwinden-Terminologie wurden an den Master angeglichen.</x:v>
      </x:c>
    </x:row>
    <x:row r="17" ht="15" hidden="0" customHeight="1">
      <x:c r="A17" s="99" t="str">
        <x:v>Französisch (fr-FR)</x:v>
      </x:c>
      <x:c r="B17" s="99" t="str">
        <x:v>P02</x:v>
      </x:c>
      <x:c r="C17" s="99" t="str">
        <x:v>Homepage – Vorteile &amp; Module</x:v>
      </x:c>
      <x:c r="D17" s="100" t="n">
        <x:v>96</x:v>
      </x:c>
      <x:c r="E17" s="100" t="n">
        <x:v>96</x:v>
      </x:c>
      <x:c r="F17" s="100" t="n">
        <x:v>98</x:v>
      </x:c>
      <x:c r="G17" s="100" t="n">
        <x:v>95</x:v>
      </x:c>
      <x:c r="H17" s="100" t="n">
        <x:v>96</x:v>
      </x:c>
      <x:c r="I17" s="100" t="n">
        <x:f>ROUND(AVERAGE(D17:H17),1)</x:f>
        <x:v>96.2</x:v>
      </x:c>
      <x:c r="J17" s="99" t="str">
        <x:v>Übersteigerte Claims und die Ankerwinden-Terminologie wurden an den Master angeglichen.</x:v>
      </x:c>
    </x:row>
    <x:row r="18" ht="21.600000381469727" hidden="0" customHeight="1">
      <x:c r="A18" s="97" t="str">
        <x:v>Dänisch (da-DK)</x:v>
      </x:c>
      <x:c r="B18" s="97" t="str">
        <x:v>P02</x:v>
      </x:c>
      <x:c r="C18" s="97" t="str">
        <x:v>Homepage – Vorteile &amp; Module</x:v>
      </x:c>
      <x:c r="D18" s="98" t="n">
        <x:v>98.7</x:v>
      </x:c>
      <x:c r="E18" s="98" t="n">
        <x:v>96.7</x:v>
      </x:c>
      <x:c r="F18" s="98" t="n">
        <x:v>98.7</x:v>
      </x:c>
      <x:c r="G18" s="98" t="n">
        <x:v>97.7</x:v>
      </x:c>
      <x:c r="H18" s="98" t="n">
        <x:v>96.7</x:v>
      </x:c>
      <x:c r="I18" s="98" t="n">
        <x:f>ROUND(AVERAGE(D18:H18),1)</x:f>
        <x:v>97.7</x:v>
      </x:c>
      <x:c r="J18" s="97" t="str">
        <x:v>Sehr gute bis praktisch muttersprachliche Übersetzungsqualität; keine relevanten Einzelprobleme im geprüften Paket.</x:v>
      </x:c>
    </x:row>
    <x:row r="19" ht="21.600000381469727" hidden="0" customHeight="1">
      <x:c r="A19" s="99" t="str">
        <x:v>Spanisch (es-ES)</x:v>
      </x:c>
      <x:c r="B19" s="99" t="str">
        <x:v>P02</x:v>
      </x:c>
      <x:c r="C19" s="99" t="str">
        <x:v>Homepage – Vorteile &amp; Module</x:v>
      </x:c>
      <x:c r="D19" s="100" t="n">
        <x:v>98.7</x:v>
      </x:c>
      <x:c r="E19" s="100" t="n">
        <x:v>96.7</x:v>
      </x:c>
      <x:c r="F19" s="100" t="n">
        <x:v>98.7</x:v>
      </x:c>
      <x:c r="G19" s="100" t="n">
        <x:v>97.7</x:v>
      </x:c>
      <x:c r="H19" s="100" t="n">
        <x:v>96.7</x:v>
      </x:c>
      <x:c r="I19" s="100" t="n">
        <x:f>ROUND(AVERAGE(D19:H19),1)</x:f>
        <x:v>97.7</x:v>
      </x:c>
      <x:c r="J19" s="99" t="str">
        <x:v>Sehr gute bis praktisch muttersprachliche Übersetzungsqualität; keine relevanten Einzelprobleme im geprüften Paket.</x:v>
      </x:c>
    </x:row>
    <x:row r="20" ht="21.600000381469727" hidden="0" customHeight="1">
      <x:c r="A20" s="97" t="str">
        <x:v>Niederländisch (nl-NL)</x:v>
      </x:c>
      <x:c r="B20" s="97" t="str">
        <x:v>P02</x:v>
      </x:c>
      <x:c r="C20" s="97" t="str">
        <x:v>Homepage – Vorteile &amp; Module</x:v>
      </x:c>
      <x:c r="D20" s="98" t="n">
        <x:v>98.7</x:v>
      </x:c>
      <x:c r="E20" s="98" t="n">
        <x:v>96.7</x:v>
      </x:c>
      <x:c r="F20" s="98" t="n">
        <x:v>98.7</x:v>
      </x:c>
      <x:c r="G20" s="98" t="n">
        <x:v>97.7</x:v>
      </x:c>
      <x:c r="H20" s="98" t="n">
        <x:v>96.7</x:v>
      </x:c>
      <x:c r="I20" s="98" t="n">
        <x:f>ROUND(AVERAGE(D20:H20),1)</x:f>
        <x:v>97.7</x:v>
      </x:c>
      <x:c r="J20" s="97" t="str">
        <x:v>Sehr gute bis praktisch muttersprachliche Übersetzungsqualität; keine relevanten Einzelprobleme im geprüften Paket.</x:v>
      </x:c>
    </x:row>
    <x:row r="21" ht="21.600000381469727" hidden="0" customHeight="1">
      <x:c r="A21" s="99" t="str">
        <x:v>Norwegisch Bokmål (nb-NO)</x:v>
      </x:c>
      <x:c r="B21" s="99" t="str">
        <x:v>P02</x:v>
      </x:c>
      <x:c r="C21" s="99" t="str">
        <x:v>Homepage – Vorteile &amp; Module</x:v>
      </x:c>
      <x:c r="D21" s="100" t="n">
        <x:v>98.7</x:v>
      </x:c>
      <x:c r="E21" s="100" t="n">
        <x:v>96.7</x:v>
      </x:c>
      <x:c r="F21" s="100" t="n">
        <x:v>98.7</x:v>
      </x:c>
      <x:c r="G21" s="100" t="n">
        <x:v>97.7</x:v>
      </x:c>
      <x:c r="H21" s="100" t="n">
        <x:v>96.7</x:v>
      </x:c>
      <x:c r="I21" s="100" t="n">
        <x:f>ROUND(AVERAGE(D21:H21),1)</x:f>
        <x:v>97.7</x:v>
      </x:c>
      <x:c r="J21" s="99" t="str">
        <x:v>Sehr gute bis praktisch muttersprachliche Übersetzungsqualität; keine relevanten Einzelprobleme im geprüften Paket.</x:v>
      </x:c>
    </x:row>
    <x:row r="22" ht="21.600000381469727" hidden="0" customHeight="1">
      <x:c r="A22" s="97" t="str">
        <x:v>Schwedisch (sv-SE)</x:v>
      </x:c>
      <x:c r="B22" s="97" t="str">
        <x:v>P02</x:v>
      </x:c>
      <x:c r="C22" s="97" t="str">
        <x:v>Homepage – Vorteile &amp; Module</x:v>
      </x:c>
      <x:c r="D22" s="98" t="n">
        <x:v>98.7</x:v>
      </x:c>
      <x:c r="E22" s="98" t="n">
        <x:v>96.7</x:v>
      </x:c>
      <x:c r="F22" s="98" t="n">
        <x:v>98.7</x:v>
      </x:c>
      <x:c r="G22" s="98" t="n">
        <x:v>97.7</x:v>
      </x:c>
      <x:c r="H22" s="98" t="n">
        <x:v>96.7</x:v>
      </x:c>
      <x:c r="I22" s="98" t="n">
        <x:f>ROUND(AVERAGE(D22:H22),1)</x:f>
        <x:v>97.7</x:v>
      </x:c>
      <x:c r="J22" s="97" t="str">
        <x:v>Sehr gute bis praktisch muttersprachliche Übersetzungsqualität; keine relevanten Einzelprobleme im geprüften Paket.</x:v>
      </x:c>
    </x:row>
    <x:row r="23" ht="21.600000381469727" hidden="0" customHeight="1">
      <x:c r="A23" s="99" t="str">
        <x:v>Englisch (en)</x:v>
      </x:c>
      <x:c r="B23" s="99" t="str">
        <x:v>P03</x:v>
      </x:c>
      <x:c r="C23" s="99" t="str">
        <x:v>Kontaktformular</x:v>
      </x:c>
      <x:c r="D23" s="100" t="n">
        <x:v>98</x:v>
      </x:c>
      <x:c r="E23" s="100" t="n">
        <x:v>97</x:v>
      </x:c>
      <x:c r="F23" s="100" t="n">
        <x:v>98</x:v>
      </x:c>
      <x:c r="G23" s="100" t="n">
        <x:v>97</x:v>
      </x:c>
      <x:c r="H23" s="100" t="n">
        <x:v>97</x:v>
      </x:c>
      <x:c r="I23" s="100" t="n">
        <x:f>ROUND(AVERAGE(D23:H23),1)</x:f>
        <x:v>97.4</x:v>
      </x:c>
      <x:c r="J23" s="99" t="str">
        <x:v>Sehr gute bis praktisch muttersprachliche Übersetzungsqualität; keine relevanten offenen Einzelprobleme im geprüften Paket.</x:v>
      </x:c>
    </x:row>
    <x:row r="24" ht="21.600000381469727" hidden="0" customHeight="1">
      <x:c r="A24" s="97" t="str">
        <x:v>Französisch (fr-FR)</x:v>
      </x:c>
      <x:c r="B24" s="97" t="str">
        <x:v>P03</x:v>
      </x:c>
      <x:c r="C24" s="97" t="str">
        <x:v>Kontaktformular</x:v>
      </x:c>
      <x:c r="D24" s="98" t="n">
        <x:v>98</x:v>
      </x:c>
      <x:c r="E24" s="98" t="n">
        <x:v>97</x:v>
      </x:c>
      <x:c r="F24" s="98" t="n">
        <x:v>98</x:v>
      </x:c>
      <x:c r="G24" s="98" t="n">
        <x:v>97</x:v>
      </x:c>
      <x:c r="H24" s="98" t="n">
        <x:v>97</x:v>
      </x:c>
      <x:c r="I24" s="98" t="n">
        <x:f>ROUND(AVERAGE(D24:H24),1)</x:f>
        <x:v>97.4</x:v>
      </x:c>
      <x:c r="J24" s="97" t="str">
        <x:v>Sehr gute bis praktisch muttersprachliche Übersetzungsqualität; keine relevanten offenen Einzelprobleme im geprüften Paket.</x:v>
      </x:c>
    </x:row>
    <x:row r="25" ht="21.600000381469727" hidden="0" customHeight="1">
      <x:c r="A25" s="99" t="str">
        <x:v>Dänisch (da-DK)</x:v>
      </x:c>
      <x:c r="B25" s="99" t="str">
        <x:v>P03</x:v>
      </x:c>
      <x:c r="C25" s="99" t="str">
        <x:v>Kontaktformular</x:v>
      </x:c>
      <x:c r="D25" s="100" t="n">
        <x:v>99</x:v>
      </x:c>
      <x:c r="E25" s="100" t="n">
        <x:v>98.7</x:v>
      </x:c>
      <x:c r="F25" s="100" t="n">
        <x:v>99</x:v>
      </x:c>
      <x:c r="G25" s="100" t="n">
        <x:v>98.7</x:v>
      </x:c>
      <x:c r="H25" s="100" t="n">
        <x:v>98.7</x:v>
      </x:c>
      <x:c r="I25" s="100" t="n">
        <x:f>ROUND(AVERAGE(D25:H25),1)</x:f>
        <x:v>98.8</x:v>
      </x:c>
      <x:c r="J25" s="99" t="str">
        <x:v>Sehr gute bis praktisch muttersprachliche Übersetzungsqualität; keine relevanten Einzelprobleme im geprüften Paket.</x:v>
      </x:c>
    </x:row>
    <x:row r="26" ht="21.600000381469727" hidden="0" customHeight="1">
      <x:c r="A26" s="97" t="str">
        <x:v>Spanisch (es-ES)</x:v>
      </x:c>
      <x:c r="B26" s="97" t="str">
        <x:v>P03</x:v>
      </x:c>
      <x:c r="C26" s="97" t="str">
        <x:v>Kontaktformular</x:v>
      </x:c>
      <x:c r="D26" s="98" t="n">
        <x:v>99</x:v>
      </x:c>
      <x:c r="E26" s="98" t="n">
        <x:v>98.7</x:v>
      </x:c>
      <x:c r="F26" s="98" t="n">
        <x:v>99</x:v>
      </x:c>
      <x:c r="G26" s="98" t="n">
        <x:v>98.7</x:v>
      </x:c>
      <x:c r="H26" s="98" t="n">
        <x:v>98.7</x:v>
      </x:c>
      <x:c r="I26" s="98" t="n">
        <x:f>ROUND(AVERAGE(D26:H26),1)</x:f>
        <x:v>98.8</x:v>
      </x:c>
      <x:c r="J26" s="97" t="str">
        <x:v>Sehr gute bis praktisch muttersprachliche Übersetzungsqualität; keine relevanten Einzelprobleme im geprüften Paket.</x:v>
      </x:c>
    </x:row>
    <x:row r="27" ht="21.600000381469727" hidden="0" customHeight="1">
      <x:c r="A27" s="99" t="str">
        <x:v>Niederländisch (nl-NL)</x:v>
      </x:c>
      <x:c r="B27" s="99" t="str">
        <x:v>P03</x:v>
      </x:c>
      <x:c r="C27" s="99" t="str">
        <x:v>Kontaktformular</x:v>
      </x:c>
      <x:c r="D27" s="100" t="n">
        <x:v>99</x:v>
      </x:c>
      <x:c r="E27" s="100" t="n">
        <x:v>98.7</x:v>
      </x:c>
      <x:c r="F27" s="100" t="n">
        <x:v>99</x:v>
      </x:c>
      <x:c r="G27" s="100" t="n">
        <x:v>98.7</x:v>
      </x:c>
      <x:c r="H27" s="100" t="n">
        <x:v>98.7</x:v>
      </x:c>
      <x:c r="I27" s="100" t="n">
        <x:f>ROUND(AVERAGE(D27:H27),1)</x:f>
        <x:v>98.8</x:v>
      </x:c>
      <x:c r="J27" s="99" t="str">
        <x:v>Sehr gute bis praktisch muttersprachliche Übersetzungsqualität; keine relevanten Einzelprobleme im geprüften Paket.</x:v>
      </x:c>
    </x:row>
    <x:row r="28" ht="21.600000381469727" hidden="0" customHeight="1">
      <x:c r="A28" s="97" t="str">
        <x:v>Norwegisch Bokmål (nb-NO)</x:v>
      </x:c>
      <x:c r="B28" s="97" t="str">
        <x:v>P03</x:v>
      </x:c>
      <x:c r="C28" s="97" t="str">
        <x:v>Kontaktformular</x:v>
      </x:c>
      <x:c r="D28" s="98" t="n">
        <x:v>99</x:v>
      </x:c>
      <x:c r="E28" s="98" t="n">
        <x:v>98.7</x:v>
      </x:c>
      <x:c r="F28" s="98" t="n">
        <x:v>99</x:v>
      </x:c>
      <x:c r="G28" s="98" t="n">
        <x:v>98.7</x:v>
      </x:c>
      <x:c r="H28" s="98" t="n">
        <x:v>98.7</x:v>
      </x:c>
      <x:c r="I28" s="98" t="n">
        <x:f>ROUND(AVERAGE(D28:H28),1)</x:f>
        <x:v>98.8</x:v>
      </x:c>
      <x:c r="J28" s="97" t="str">
        <x:v>Sehr gute bis praktisch muttersprachliche Übersetzungsqualität; keine relevanten Einzelprobleme im geprüften Paket.</x:v>
      </x:c>
    </x:row>
    <x:row r="29" ht="21.600000381469727" hidden="0" customHeight="1">
      <x:c r="A29" s="99" t="str">
        <x:v>Schwedisch (sv-SE)</x:v>
      </x:c>
      <x:c r="B29" s="99" t="str">
        <x:v>P03</x:v>
      </x:c>
      <x:c r="C29" s="99" t="str">
        <x:v>Kontaktformular</x:v>
      </x:c>
      <x:c r="D29" s="100" t="n">
        <x:v>99</x:v>
      </x:c>
      <x:c r="E29" s="100" t="n">
        <x:v>98.7</x:v>
      </x:c>
      <x:c r="F29" s="100" t="n">
        <x:v>99</x:v>
      </x:c>
      <x:c r="G29" s="100" t="n">
        <x:v>98.7</x:v>
      </x:c>
      <x:c r="H29" s="100" t="n">
        <x:v>98.7</x:v>
      </x:c>
      <x:c r="I29" s="100" t="n">
        <x:f>ROUND(AVERAGE(D29:H29),1)</x:f>
        <x:v>98.8</x:v>
      </x:c>
      <x:c r="J29" s="99" t="str">
        <x:v>Sehr gute bis praktisch muttersprachliche Übersetzungsqualität; keine relevanten Einzelprobleme im geprüften Paket.</x:v>
      </x:c>
    </x:row>
    <x:row r="30" ht="21.600000381469727" hidden="0" customHeight="1">
      <x:c r="A30" s="97" t="str">
        <x:v>Englisch (en)</x:v>
      </x:c>
      <x:c r="B30" s="97" t="str">
        <x:v>P04</x:v>
      </x:c>
      <x:c r="C30" s="97" t="str">
        <x:v>Produktpositionierung &amp; Story</x:v>
      </x:c>
      <x:c r="D30" s="98" t="n">
        <x:v>98</x:v>
      </x:c>
      <x:c r="E30" s="98" t="n">
        <x:v>97</x:v>
      </x:c>
      <x:c r="F30" s="98" t="n">
        <x:v>98</x:v>
      </x:c>
      <x:c r="G30" s="98" t="n">
        <x:v>97</x:v>
      </x:c>
      <x:c r="H30" s="98" t="n">
        <x:v>97</x:v>
      </x:c>
      <x:c r="I30" s="98" t="n">
        <x:f>ROUND(AVERAGE(D30:H30),1)</x:f>
        <x:v>97.4</x:v>
      </x:c>
      <x:c r="J30" s="97" t="str">
        <x:v>Sehr gute bis praktisch muttersprachliche Übersetzungsqualität; keine relevanten offenen Einzelprobleme im geprüften Paket.</x:v>
      </x:c>
    </x:row>
    <x:row r="31" ht="21.600000381469727" hidden="0" customHeight="1">
      <x:c r="A31" s="99" t="str">
        <x:v>Französisch (fr-FR)</x:v>
      </x:c>
      <x:c r="B31" s="99" t="str">
        <x:v>P04</x:v>
      </x:c>
      <x:c r="C31" s="99" t="str">
        <x:v>Produktpositionierung &amp; Story</x:v>
      </x:c>
      <x:c r="D31" s="100" t="n">
        <x:v>98</x:v>
      </x:c>
      <x:c r="E31" s="100" t="n">
        <x:v>97</x:v>
      </x:c>
      <x:c r="F31" s="100" t="n">
        <x:v>98</x:v>
      </x:c>
      <x:c r="G31" s="100" t="n">
        <x:v>97</x:v>
      </x:c>
      <x:c r="H31" s="100" t="n">
        <x:v>97</x:v>
      </x:c>
      <x:c r="I31" s="100" t="n">
        <x:f>ROUND(AVERAGE(D31:H31),1)</x:f>
        <x:v>97.4</x:v>
      </x:c>
      <x:c r="J31" s="99" t="str">
        <x:v>Sehr gute bis praktisch muttersprachliche Übersetzungsqualität; keine relevanten offenen Einzelprobleme im geprüften Paket.</x:v>
      </x:c>
    </x:row>
    <x:row r="32" ht="21.600000381469727" hidden="0" customHeight="1">
      <x:c r="A32" s="97" t="str">
        <x:v>Dänisch (da-DK)</x:v>
      </x:c>
      <x:c r="B32" s="97" t="str">
        <x:v>P04</x:v>
      </x:c>
      <x:c r="C32" s="97" t="str">
        <x:v>Produktpositionierung &amp; Story</x:v>
      </x:c>
      <x:c r="D32" s="98" t="n">
        <x:v>99</x:v>
      </x:c>
      <x:c r="E32" s="98" t="n">
        <x:v>98.2</x:v>
      </x:c>
      <x:c r="F32" s="98" t="n">
        <x:v>99</x:v>
      </x:c>
      <x:c r="G32" s="98" t="n">
        <x:v>98.2</x:v>
      </x:c>
      <x:c r="H32" s="98" t="n">
        <x:v>98.2</x:v>
      </x:c>
      <x:c r="I32" s="98" t="n">
        <x:f>ROUND(AVERAGE(D32:H32),1)</x:f>
        <x:v>98.5</x:v>
      </x:c>
      <x:c r="J32" s="97" t="str">
        <x:v>Sehr gute bis praktisch muttersprachliche Übersetzungsqualität; keine relevanten Einzelprobleme im geprüften Paket.</x:v>
      </x:c>
    </x:row>
    <x:row r="33" ht="21.600000381469727" hidden="0" customHeight="1">
      <x:c r="A33" s="99" t="str">
        <x:v>Spanisch (es-ES)</x:v>
      </x:c>
      <x:c r="B33" s="99" t="str">
        <x:v>P04</x:v>
      </x:c>
      <x:c r="C33" s="99" t="str">
        <x:v>Produktpositionierung &amp; Story</x:v>
      </x:c>
      <x:c r="D33" s="100" t="n">
        <x:v>99</x:v>
      </x:c>
      <x:c r="E33" s="100" t="n">
        <x:v>98.2</x:v>
      </x:c>
      <x:c r="F33" s="100" t="n">
        <x:v>99</x:v>
      </x:c>
      <x:c r="G33" s="100" t="n">
        <x:v>98.2</x:v>
      </x:c>
      <x:c r="H33" s="100" t="n">
        <x:v>98.2</x:v>
      </x:c>
      <x:c r="I33" s="100" t="n">
        <x:f>ROUND(AVERAGE(D33:H33),1)</x:f>
        <x:v>98.5</x:v>
      </x:c>
      <x:c r="J33" s="99" t="str">
        <x:v>Sehr gute bis praktisch muttersprachliche Übersetzungsqualität; keine relevanten Einzelprobleme im geprüften Paket.</x:v>
      </x:c>
    </x:row>
    <x:row r="34" ht="21.600000381469727" hidden="0" customHeight="1">
      <x:c r="A34" s="97" t="str">
        <x:v>Niederländisch (nl-NL)</x:v>
      </x:c>
      <x:c r="B34" s="97" t="str">
        <x:v>P04</x:v>
      </x:c>
      <x:c r="C34" s="97" t="str">
        <x:v>Produktpositionierung &amp; Story</x:v>
      </x:c>
      <x:c r="D34" s="98" t="n">
        <x:v>99</x:v>
      </x:c>
      <x:c r="E34" s="98" t="n">
        <x:v>98.2</x:v>
      </x:c>
      <x:c r="F34" s="98" t="n">
        <x:v>99</x:v>
      </x:c>
      <x:c r="G34" s="98" t="n">
        <x:v>98.2</x:v>
      </x:c>
      <x:c r="H34" s="98" t="n">
        <x:v>98.2</x:v>
      </x:c>
      <x:c r="I34" s="98" t="n">
        <x:f>ROUND(AVERAGE(D34:H34),1)</x:f>
        <x:v>98.5</x:v>
      </x:c>
      <x:c r="J34" s="97" t="str">
        <x:v>Sehr gute bis praktisch muttersprachliche Übersetzungsqualität; keine relevanten Einzelprobleme im geprüften Paket.</x:v>
      </x:c>
    </x:row>
    <x:row r="35" ht="21.600000381469727" hidden="0" customHeight="1">
      <x:c r="A35" s="99" t="str">
        <x:v>Norwegisch Bokmål (nb-NO)</x:v>
      </x:c>
      <x:c r="B35" s="99" t="str">
        <x:v>P04</x:v>
      </x:c>
      <x:c r="C35" s="99" t="str">
        <x:v>Produktpositionierung &amp; Story</x:v>
      </x:c>
      <x:c r="D35" s="100" t="n">
        <x:v>99</x:v>
      </x:c>
      <x:c r="E35" s="100" t="n">
        <x:v>98.2</x:v>
      </x:c>
      <x:c r="F35" s="100" t="n">
        <x:v>99</x:v>
      </x:c>
      <x:c r="G35" s="100" t="n">
        <x:v>98.2</x:v>
      </x:c>
      <x:c r="H35" s="100" t="n">
        <x:v>98.2</x:v>
      </x:c>
      <x:c r="I35" s="100" t="n">
        <x:f>ROUND(AVERAGE(D35:H35),1)</x:f>
        <x:v>98.5</x:v>
      </x:c>
      <x:c r="J35" s="99" t="str">
        <x:v>Sehr gute bis praktisch muttersprachliche Übersetzungsqualität; keine relevanten Einzelprobleme im geprüften Paket.</x:v>
      </x:c>
    </x:row>
    <x:row r="36" ht="21.600000381469727" hidden="0" customHeight="1">
      <x:c r="A36" s="97" t="str">
        <x:v>Schwedisch (sv-SE)</x:v>
      </x:c>
      <x:c r="B36" s="97" t="str">
        <x:v>P04</x:v>
      </x:c>
      <x:c r="C36" s="97" t="str">
        <x:v>Produktpositionierung &amp; Story</x:v>
      </x:c>
      <x:c r="D36" s="98" t="n">
        <x:v>99</x:v>
      </x:c>
      <x:c r="E36" s="98" t="n">
        <x:v>98.2</x:v>
      </x:c>
      <x:c r="F36" s="98" t="n">
        <x:v>99</x:v>
      </x:c>
      <x:c r="G36" s="98" t="n">
        <x:v>98.2</x:v>
      </x:c>
      <x:c r="H36" s="98" t="n">
        <x:v>98.2</x:v>
      </x:c>
      <x:c r="I36" s="98" t="n">
        <x:f>ROUND(AVERAGE(D36:H36),1)</x:f>
        <x:v>98.5</x:v>
      </x:c>
      <x:c r="J36" s="97" t="str">
        <x:v>Sehr gute bis praktisch muttersprachliche Übersetzungsqualität; keine relevanten Einzelprobleme im geprüften Paket.</x:v>
      </x:c>
    </x:row>
    <x:row r="37" ht="21.600000381469727" hidden="0" customHeight="1">
      <x:c r="A37" s="99" t="str">
        <x:v>Englisch (en)</x:v>
      </x:c>
      <x:c r="B37" s="99" t="str">
        <x:v>P05</x:v>
      </x:c>
      <x:c r="C37" s="99" t="str">
        <x:v>Produkt – Technik &amp; Conversion</x:v>
      </x:c>
      <x:c r="D37" s="100" t="n">
        <x:v>98</x:v>
      </x:c>
      <x:c r="E37" s="100" t="n">
        <x:v>97</x:v>
      </x:c>
      <x:c r="F37" s="100" t="n">
        <x:v>98</x:v>
      </x:c>
      <x:c r="G37" s="100" t="n">
        <x:v>97</x:v>
      </x:c>
      <x:c r="H37" s="100" t="n">
        <x:v>97</x:v>
      </x:c>
      <x:c r="I37" s="100" t="n">
        <x:f>ROUND(AVERAGE(D37:H37),1)</x:f>
        <x:v>97.4</x:v>
      </x:c>
      <x:c r="J37" s="99" t="str">
        <x:v>Sehr gute bis praktisch muttersprachliche Übersetzungsqualität; keine relevanten offenen Einzelprobleme im geprüften Paket.</x:v>
      </x:c>
    </x:row>
    <x:row r="38" ht="21.600000381469727" hidden="0" customHeight="1">
      <x:c r="A38" s="97" t="str">
        <x:v>Französisch (fr-FR)</x:v>
      </x:c>
      <x:c r="B38" s="97" t="str">
        <x:v>P05</x:v>
      </x:c>
      <x:c r="C38" s="97" t="str">
        <x:v>Produkt – Technik &amp; Conversion</x:v>
      </x:c>
      <x:c r="D38" s="98" t="n">
        <x:v>98</x:v>
      </x:c>
      <x:c r="E38" s="98" t="n">
        <x:v>97</x:v>
      </x:c>
      <x:c r="F38" s="98" t="n">
        <x:v>98</x:v>
      </x:c>
      <x:c r="G38" s="98" t="n">
        <x:v>97</x:v>
      </x:c>
      <x:c r="H38" s="98" t="n">
        <x:v>97</x:v>
      </x:c>
      <x:c r="I38" s="98" t="n">
        <x:f>ROUND(AVERAGE(D38:H38),1)</x:f>
        <x:v>97.4</x:v>
      </x:c>
      <x:c r="J38" s="97" t="str">
        <x:v>Sehr gute bis praktisch muttersprachliche Übersetzungsqualität; keine relevanten offenen Einzelprobleme im geprüften Paket.</x:v>
      </x:c>
    </x:row>
    <x:row r="39" ht="21.600000381469727" hidden="0" customHeight="1">
      <x:c r="A39" s="99" t="str">
        <x:v>Dänisch (da-DK)</x:v>
      </x:c>
      <x:c r="B39" s="99" t="str">
        <x:v>P05</x:v>
      </x:c>
      <x:c r="C39" s="99" t="str">
        <x:v>Produkt – Technik &amp; Conversion</x:v>
      </x:c>
      <x:c r="D39" s="100" t="n">
        <x:v>97.7</x:v>
      </x:c>
      <x:c r="E39" s="100" t="n">
        <x:v>91.7</x:v>
      </x:c>
      <x:c r="F39" s="100" t="n">
        <x:v>97.7</x:v>
      </x:c>
      <x:c r="G39" s="100" t="n">
        <x:v>93.7</x:v>
      </x:c>
      <x:c r="H39" s="100" t="n">
        <x:v>96.7</x:v>
      </x:c>
      <x:c r="I39" s="100" t="n">
        <x:f>ROUND(AVERAGE(D39:H39),1)</x:f>
        <x:v>95.5</x:v>
      </x:c>
      <x:c r="J39" s="99" t="str">
        <x:v>Gute technische Übertragung; ein auffällig wörtlicher TCU-Satz mindert die Natürlichkeit.</x:v>
      </x:c>
    </x:row>
    <x:row r="40" ht="21.600000381469727" hidden="0" customHeight="1">
      <x:c r="A40" s="97" t="str">
        <x:v>Spanisch (es-ES)</x:v>
      </x:c>
      <x:c r="B40" s="97" t="str">
        <x:v>P05</x:v>
      </x:c>
      <x:c r="C40" s="97" t="str">
        <x:v>Produkt – Technik &amp; Conversion</x:v>
      </x:c>
      <x:c r="D40" s="98" t="n">
        <x:v>98.7</x:v>
      </x:c>
      <x:c r="E40" s="98" t="n">
        <x:v>97.7</x:v>
      </x:c>
      <x:c r="F40" s="98" t="n">
        <x:v>98.7</x:v>
      </x:c>
      <x:c r="G40" s="98" t="n">
        <x:v>97.7</x:v>
      </x:c>
      <x:c r="H40" s="98" t="n">
        <x:v>97.7</x:v>
      </x:c>
      <x:c r="I40" s="98" t="n">
        <x:f>ROUND(AVERAGE(D40:H40),1)</x:f>
        <x:v>98.1</x:v>
      </x:c>
      <x:c r="J40" s="97" t="str">
        <x:v>Sehr gute bis praktisch muttersprachliche Übersetzungsqualität; keine relevanten Einzelprobleme im geprüften Paket.</x:v>
      </x:c>
    </x:row>
    <x:row r="41" ht="21.600000381469727" hidden="0" customHeight="1">
      <x:c r="A41" s="99" t="str">
        <x:v>Niederländisch (nl-NL)</x:v>
      </x:c>
      <x:c r="B41" s="99" t="str">
        <x:v>P05</x:v>
      </x:c>
      <x:c r="C41" s="99" t="str">
        <x:v>Produkt – Technik &amp; Conversion</x:v>
      </x:c>
      <x:c r="D41" s="100" t="n">
        <x:v>98.7</x:v>
      </x:c>
      <x:c r="E41" s="100" t="n">
        <x:v>97.7</x:v>
      </x:c>
      <x:c r="F41" s="100" t="n">
        <x:v>98.7</x:v>
      </x:c>
      <x:c r="G41" s="100" t="n">
        <x:v>97.7</x:v>
      </x:c>
      <x:c r="H41" s="100" t="n">
        <x:v>97.7</x:v>
      </x:c>
      <x:c r="I41" s="100" t="n">
        <x:f>ROUND(AVERAGE(D41:H41),1)</x:f>
        <x:v>98.1</x:v>
      </x:c>
      <x:c r="J41" s="99" t="str">
        <x:v>Sehr gute bis praktisch muttersprachliche Übersetzungsqualität; keine relevanten Einzelprobleme im geprüften Paket.</x:v>
      </x:c>
    </x:row>
    <x:row r="42" ht="21.600000381469727" hidden="0" customHeight="1">
      <x:c r="A42" s="97" t="str">
        <x:v>Norwegisch Bokmål (nb-NO)</x:v>
      </x:c>
      <x:c r="B42" s="97" t="str">
        <x:v>P05</x:v>
      </x:c>
      <x:c r="C42" s="97" t="str">
        <x:v>Produkt – Technik &amp; Conversion</x:v>
      </x:c>
      <x:c r="D42" s="98" t="n">
        <x:v>97.7</x:v>
      </x:c>
      <x:c r="E42" s="98" t="n">
        <x:v>91.7</x:v>
      </x:c>
      <x:c r="F42" s="98" t="n">
        <x:v>97.7</x:v>
      </x:c>
      <x:c r="G42" s="98" t="n">
        <x:v>93.7</x:v>
      </x:c>
      <x:c r="H42" s="98" t="n">
        <x:v>96.7</x:v>
      </x:c>
      <x:c r="I42" s="98" t="n">
        <x:f>ROUND(AVERAGE(D42:H42),1)</x:f>
        <x:v>95.5</x:v>
      </x:c>
      <x:c r="J42" s="97" t="str">
        <x:v>Gute technische Übertragung; ein auffällig wörtlicher TCU-Satz mindert die Natürlichkeit.</x:v>
      </x:c>
    </x:row>
    <x:row r="43" ht="21.600000381469727" hidden="0" customHeight="1">
      <x:c r="A43" s="99" t="str">
        <x:v>Schwedisch (sv-SE)</x:v>
      </x:c>
      <x:c r="B43" s="99" t="str">
        <x:v>P05</x:v>
      </x:c>
      <x:c r="C43" s="99" t="str">
        <x:v>Produkt – Technik &amp; Conversion</x:v>
      </x:c>
      <x:c r="D43" s="100" t="n">
        <x:v>97.7</x:v>
      </x:c>
      <x:c r="E43" s="100" t="n">
        <x:v>91.7</x:v>
      </x:c>
      <x:c r="F43" s="100" t="n">
        <x:v>97.7</x:v>
      </x:c>
      <x:c r="G43" s="100" t="n">
        <x:v>93.7</x:v>
      </x:c>
      <x:c r="H43" s="100" t="n">
        <x:v>96.7</x:v>
      </x:c>
      <x:c r="I43" s="100" t="n">
        <x:f>ROUND(AVERAGE(D43:H43),1)</x:f>
        <x:v>95.5</x:v>
      </x:c>
      <x:c r="J43" s="99" t="str">
        <x:v>Gute technische Übertragung; ein auffällig wörtlicher TCU-Satz mindert die Natürlichkeit.</x:v>
      </x:c>
    </x:row>
    <x:row r="44" ht="21.600000381469727" hidden="0" customHeight="1">
      <x:c r="A44" s="97" t="str">
        <x:v>Englisch (en)</x:v>
      </x:c>
      <x:c r="B44" s="97" t="str">
        <x:v>P06</x:v>
      </x:c>
      <x:c r="C44" s="97" t="str">
        <x:v>Funktionen</x:v>
      </x:c>
      <x:c r="D44" s="98" t="n">
        <x:v>98</x:v>
      </x:c>
      <x:c r="E44" s="98" t="n">
        <x:v>97</x:v>
      </x:c>
      <x:c r="F44" s="98" t="n">
        <x:v>98</x:v>
      </x:c>
      <x:c r="G44" s="98" t="n">
        <x:v>97</x:v>
      </x:c>
      <x:c r="H44" s="98" t="n">
        <x:v>97</x:v>
      </x:c>
      <x:c r="I44" s="98" t="n">
        <x:f>ROUND(AVERAGE(D44:H44),1)</x:f>
        <x:v>97.4</x:v>
      </x:c>
      <x:c r="J44" s="97" t="str">
        <x:v>Sehr gute bis praktisch muttersprachliche Übersetzungsqualität; keine relevanten offenen Einzelprobleme im geprüften Paket.</x:v>
      </x:c>
    </x:row>
    <x:row r="45" ht="21.600000381469727" hidden="0" customHeight="1">
      <x:c r="A45" s="99" t="str">
        <x:v>Französisch (fr-FR)</x:v>
      </x:c>
      <x:c r="B45" s="99" t="str">
        <x:v>P06</x:v>
      </x:c>
      <x:c r="C45" s="99" t="str">
        <x:v>Funktionen</x:v>
      </x:c>
      <x:c r="D45" s="100" t="n">
        <x:v>98</x:v>
      </x:c>
      <x:c r="E45" s="100" t="n">
        <x:v>97</x:v>
      </x:c>
      <x:c r="F45" s="100" t="n">
        <x:v>98</x:v>
      </x:c>
      <x:c r="G45" s="100" t="n">
        <x:v>97</x:v>
      </x:c>
      <x:c r="H45" s="100" t="n">
        <x:v>97</x:v>
      </x:c>
      <x:c r="I45" s="100" t="n">
        <x:f>ROUND(AVERAGE(D45:H45),1)</x:f>
        <x:v>97.4</x:v>
      </x:c>
      <x:c r="J45" s="99" t="str">
        <x:v>Sehr gute bis praktisch muttersprachliche Übersetzungsqualität; keine relevanten offenen Einzelprobleme im geprüften Paket.</x:v>
      </x:c>
    </x:row>
    <x:row r="46" ht="21.600000381469727" hidden="0" customHeight="1">
      <x:c r="A46" s="97" t="str">
        <x:v>Dänisch (da-DK)</x:v>
      </x:c>
      <x:c r="B46" s="97" t="str">
        <x:v>P06</x:v>
      </x:c>
      <x:c r="C46" s="97" t="str">
        <x:v>Funktionen</x:v>
      </x:c>
      <x:c r="D46" s="98" t="n">
        <x:v>98.7</x:v>
      </x:c>
      <x:c r="E46" s="98" t="n">
        <x:v>97.7</x:v>
      </x:c>
      <x:c r="F46" s="98" t="n">
        <x:v>98.7</x:v>
      </x:c>
      <x:c r="G46" s="98" t="n">
        <x:v>97.7</x:v>
      </x:c>
      <x:c r="H46" s="98" t="n">
        <x:v>97.7</x:v>
      </x:c>
      <x:c r="I46" s="98" t="n">
        <x:f>ROUND(AVERAGE(D46:H46),1)</x:f>
        <x:v>98.1</x:v>
      </x:c>
      <x:c r="J46" s="97" t="str">
        <x:v>Sehr gute bis praktisch muttersprachliche Übersetzungsqualität; keine relevanten Einzelprobleme im geprüften Paket.</x:v>
      </x:c>
    </x:row>
    <x:row r="47" ht="21.600000381469727" hidden="0" customHeight="1">
      <x:c r="A47" s="99" t="str">
        <x:v>Spanisch (es-ES)</x:v>
      </x:c>
      <x:c r="B47" s="99" t="str">
        <x:v>P06</x:v>
      </x:c>
      <x:c r="C47" s="99" t="str">
        <x:v>Funktionen</x:v>
      </x:c>
      <x:c r="D47" s="100" t="n">
        <x:v>98.7</x:v>
      </x:c>
      <x:c r="E47" s="100" t="n">
        <x:v>97.7</x:v>
      </x:c>
      <x:c r="F47" s="100" t="n">
        <x:v>98.7</x:v>
      </x:c>
      <x:c r="G47" s="100" t="n">
        <x:v>97.7</x:v>
      </x:c>
      <x:c r="H47" s="100" t="n">
        <x:v>97.7</x:v>
      </x:c>
      <x:c r="I47" s="100" t="n">
        <x:f>ROUND(AVERAGE(D47:H47),1)</x:f>
        <x:v>98.1</x:v>
      </x:c>
      <x:c r="J47" s="99" t="str">
        <x:v>Sehr gute bis praktisch muttersprachliche Übersetzungsqualität; keine relevanten Einzelprobleme im geprüften Paket.</x:v>
      </x:c>
    </x:row>
    <x:row r="48" ht="21.600000381469727" hidden="0" customHeight="1">
      <x:c r="A48" s="97" t="str">
        <x:v>Niederländisch (nl-NL)</x:v>
      </x:c>
      <x:c r="B48" s="97" t="str">
        <x:v>P06</x:v>
      </x:c>
      <x:c r="C48" s="97" t="str">
        <x:v>Funktionen</x:v>
      </x:c>
      <x:c r="D48" s="98" t="n">
        <x:v>98.7</x:v>
      </x:c>
      <x:c r="E48" s="98" t="n">
        <x:v>97.7</x:v>
      </x:c>
      <x:c r="F48" s="98" t="n">
        <x:v>98.7</x:v>
      </x:c>
      <x:c r="G48" s="98" t="n">
        <x:v>97.7</x:v>
      </x:c>
      <x:c r="H48" s="98" t="n">
        <x:v>97.7</x:v>
      </x:c>
      <x:c r="I48" s="98" t="n">
        <x:f>ROUND(AVERAGE(D48:H48),1)</x:f>
        <x:v>98.1</x:v>
      </x:c>
      <x:c r="J48" s="97" t="str">
        <x:v>Sehr gute bis praktisch muttersprachliche Übersetzungsqualität; keine relevanten Einzelprobleme im geprüften Paket.</x:v>
      </x:c>
    </x:row>
    <x:row r="49" ht="21.600000381469727" hidden="0" customHeight="1">
      <x:c r="A49" s="99" t="str">
        <x:v>Norwegisch Bokmål (nb-NO)</x:v>
      </x:c>
      <x:c r="B49" s="99" t="str">
        <x:v>P06</x:v>
      </x:c>
      <x:c r="C49" s="99" t="str">
        <x:v>Funktionen</x:v>
      </x:c>
      <x:c r="D49" s="100" t="n">
        <x:v>98.7</x:v>
      </x:c>
      <x:c r="E49" s="100" t="n">
        <x:v>97.7</x:v>
      </x:c>
      <x:c r="F49" s="100" t="n">
        <x:v>98.7</x:v>
      </x:c>
      <x:c r="G49" s="100" t="n">
        <x:v>97.7</x:v>
      </x:c>
      <x:c r="H49" s="100" t="n">
        <x:v>97.7</x:v>
      </x:c>
      <x:c r="I49" s="100" t="n">
        <x:f>ROUND(AVERAGE(D49:H49),1)</x:f>
        <x:v>98.1</x:v>
      </x:c>
      <x:c r="J49" s="99" t="str">
        <x:v>Sehr gute bis praktisch muttersprachliche Übersetzungsqualität; keine relevanten Einzelprobleme im geprüften Paket.</x:v>
      </x:c>
    </x:row>
    <x:row r="50" ht="21.600000381469727" hidden="0" customHeight="1">
      <x:c r="A50" s="97" t="str">
        <x:v>Schwedisch (sv-SE)</x:v>
      </x:c>
      <x:c r="B50" s="97" t="str">
        <x:v>P06</x:v>
      </x:c>
      <x:c r="C50" s="97" t="str">
        <x:v>Funktionen</x:v>
      </x:c>
      <x:c r="D50" s="98" t="n">
        <x:v>98.7</x:v>
      </x:c>
      <x:c r="E50" s="98" t="n">
        <x:v>97.7</x:v>
      </x:c>
      <x:c r="F50" s="98" t="n">
        <x:v>98.7</x:v>
      </x:c>
      <x:c r="G50" s="98" t="n">
        <x:v>97.7</x:v>
      </x:c>
      <x:c r="H50" s="98" t="n">
        <x:v>97.7</x:v>
      </x:c>
      <x:c r="I50" s="98" t="n">
        <x:f>ROUND(AVERAGE(D50:H50),1)</x:f>
        <x:v>98.1</x:v>
      </x:c>
      <x:c r="J50" s="97" t="str">
        <x:v>Sehr gute bis praktisch muttersprachliche Übersetzungsqualität; keine relevanten Einzelprobleme im geprüften Paket.</x:v>
      </x:c>
    </x:row>
    <x:row r="51" ht="21.600000381469727" hidden="0" customHeight="1">
      <x:c r="A51" s="99" t="str">
        <x:v>Englisch (en)</x:v>
      </x:c>
      <x:c r="B51" s="99" t="str">
        <x:v>P07</x:v>
      </x:c>
      <x:c r="C51" s="99" t="str">
        <x:v>Installation – Shell &amp; Dokumente</x:v>
      </x:c>
      <x:c r="D51" s="100" t="n">
        <x:v>96</x:v>
      </x:c>
      <x:c r="E51" s="100" t="n">
        <x:v>96</x:v>
      </x:c>
      <x:c r="F51" s="100" t="n">
        <x:v>97</x:v>
      </x:c>
      <x:c r="G51" s="100" t="n">
        <x:v>96</x:v>
      </x:c>
      <x:c r="H51" s="100" t="n">
        <x:v>96</x:v>
      </x:c>
      <x:c r="I51" s="100" t="n">
        <x:f>ROUND(AVERAGE(D51:H51),1)</x:f>
        <x:v>96.2</x:v>
      </x:c>
      <x:c r="J51" s="99" t="str">
        <x:v>Installations-Shell, französische Dokumenttitel und technische Darstellungen sind aktiv lokalisiert.</x:v>
      </x:c>
    </x:row>
    <x:row r="52" ht="21.600000381469727" hidden="0" customHeight="1">
      <x:c r="A52" s="97" t="str">
        <x:v>Französisch (fr-FR)</x:v>
      </x:c>
      <x:c r="B52" s="97" t="str">
        <x:v>P07</x:v>
      </x:c>
      <x:c r="C52" s="97" t="str">
        <x:v>Installation – Shell &amp; Dokumente</x:v>
      </x:c>
      <x:c r="D52" s="98" t="n">
        <x:v>96</x:v>
      </x:c>
      <x:c r="E52" s="98" t="n">
        <x:v>96</x:v>
      </x:c>
      <x:c r="F52" s="98" t="n">
        <x:v>97</x:v>
      </x:c>
      <x:c r="G52" s="98" t="n">
        <x:v>96</x:v>
      </x:c>
      <x:c r="H52" s="98" t="n">
        <x:v>96</x:v>
      </x:c>
      <x:c r="I52" s="98" t="n">
        <x:f>ROUND(AVERAGE(D52:H52),1)</x:f>
        <x:v>96.2</x:v>
      </x:c>
      <x:c r="J52" s="97" t="str">
        <x:v>Installations-Shell, französische Dokumenttitel und technische Darstellungen sind aktiv lokalisiert.</x:v>
      </x:c>
    </x:row>
    <x:row r="53" ht="21.600000381469727" hidden="0" customHeight="1">
      <x:c r="A53" s="99" t="str">
        <x:v>Dänisch (da-DK)</x:v>
      </x:c>
      <x:c r="B53" s="99" t="str">
        <x:v>P07</x:v>
      </x:c>
      <x:c r="C53" s="99" t="str">
        <x:v>Installation – Shell &amp; Dokumente</x:v>
      </x:c>
      <x:c r="D53" s="100" t="n">
        <x:v>98.7</x:v>
      </x:c>
      <x:c r="E53" s="100" t="n">
        <x:v>97.7</x:v>
      </x:c>
      <x:c r="F53" s="100" t="n">
        <x:v>98.7</x:v>
      </x:c>
      <x:c r="G53" s="100" t="n">
        <x:v>97.7</x:v>
      </x:c>
      <x:c r="H53" s="100" t="n">
        <x:v>97.7</x:v>
      </x:c>
      <x:c r="I53" s="100" t="n">
        <x:f>ROUND(AVERAGE(D53:H53),1)</x:f>
        <x:v>98.1</x:v>
      </x:c>
      <x:c r="J53" s="99" t="str">
        <x:v>Sehr gute bis praktisch muttersprachliche Übersetzungsqualität; keine relevanten Einzelprobleme im geprüften Paket.</x:v>
      </x:c>
    </x:row>
    <x:row r="54" ht="21.600000381469727" hidden="0" customHeight="1">
      <x:c r="A54" s="97" t="str">
        <x:v>Spanisch (es-ES)</x:v>
      </x:c>
      <x:c r="B54" s="97" t="str">
        <x:v>P07</x:v>
      </x:c>
      <x:c r="C54" s="97" t="str">
        <x:v>Installation – Shell &amp; Dokumente</x:v>
      </x:c>
      <x:c r="D54" s="98" t="n">
        <x:v>98.7</x:v>
      </x:c>
      <x:c r="E54" s="98" t="n">
        <x:v>97.7</x:v>
      </x:c>
      <x:c r="F54" s="98" t="n">
        <x:v>98.7</x:v>
      </x:c>
      <x:c r="G54" s="98" t="n">
        <x:v>97.7</x:v>
      </x:c>
      <x:c r="H54" s="98" t="n">
        <x:v>97.7</x:v>
      </x:c>
      <x:c r="I54" s="98" t="n">
        <x:f>ROUND(AVERAGE(D54:H54),1)</x:f>
        <x:v>98.1</x:v>
      </x:c>
      <x:c r="J54" s="97" t="str">
        <x:v>Sehr gute bis praktisch muttersprachliche Übersetzungsqualität; keine relevanten Einzelprobleme im geprüften Paket.</x:v>
      </x:c>
    </x:row>
    <x:row r="55" ht="21.600000381469727" hidden="0" customHeight="1">
      <x:c r="A55" s="99" t="str">
        <x:v>Niederländisch (nl-NL)</x:v>
      </x:c>
      <x:c r="B55" s="99" t="str">
        <x:v>P07</x:v>
      </x:c>
      <x:c r="C55" s="99" t="str">
        <x:v>Installation – Shell &amp; Dokumente</x:v>
      </x:c>
      <x:c r="D55" s="100" t="n">
        <x:v>98.7</x:v>
      </x:c>
      <x:c r="E55" s="100" t="n">
        <x:v>97.7</x:v>
      </x:c>
      <x:c r="F55" s="100" t="n">
        <x:v>98.7</x:v>
      </x:c>
      <x:c r="G55" s="100" t="n">
        <x:v>97.7</x:v>
      </x:c>
      <x:c r="H55" s="100" t="n">
        <x:v>97.7</x:v>
      </x:c>
      <x:c r="I55" s="100" t="n">
        <x:f>ROUND(AVERAGE(D55:H55),1)</x:f>
        <x:v>98.1</x:v>
      </x:c>
      <x:c r="J55" s="99" t="str">
        <x:v>Sehr gute bis praktisch muttersprachliche Übersetzungsqualität; keine relevanten Einzelprobleme im geprüften Paket.</x:v>
      </x:c>
    </x:row>
    <x:row r="56" ht="21.600000381469727" hidden="0" customHeight="1">
      <x:c r="A56" s="97" t="str">
        <x:v>Norwegisch Bokmål (nb-NO)</x:v>
      </x:c>
      <x:c r="B56" s="97" t="str">
        <x:v>P07</x:v>
      </x:c>
      <x:c r="C56" s="97" t="str">
        <x:v>Installation – Shell &amp; Dokumente</x:v>
      </x:c>
      <x:c r="D56" s="98" t="n">
        <x:v>98.7</x:v>
      </x:c>
      <x:c r="E56" s="98" t="n">
        <x:v>97.7</x:v>
      </x:c>
      <x:c r="F56" s="98" t="n">
        <x:v>98.7</x:v>
      </x:c>
      <x:c r="G56" s="98" t="n">
        <x:v>97.7</x:v>
      </x:c>
      <x:c r="H56" s="98" t="n">
        <x:v>97.7</x:v>
      </x:c>
      <x:c r="I56" s="98" t="n">
        <x:f>ROUND(AVERAGE(D56:H56),1)</x:f>
        <x:v>98.1</x:v>
      </x:c>
      <x:c r="J56" s="97" t="str">
        <x:v>Sehr gute bis praktisch muttersprachliche Übersetzungsqualität; keine relevanten Einzelprobleme im geprüften Paket.</x:v>
      </x:c>
    </x:row>
    <x:row r="57" ht="21.600000381469727" hidden="0" customHeight="1">
      <x:c r="A57" s="99" t="str">
        <x:v>Schwedisch (sv-SE)</x:v>
      </x:c>
      <x:c r="B57" s="99" t="str">
        <x:v>P07</x:v>
      </x:c>
      <x:c r="C57" s="99" t="str">
        <x:v>Installation – Shell &amp; Dokumente</x:v>
      </x:c>
      <x:c r="D57" s="100" t="n">
        <x:v>98.7</x:v>
      </x:c>
      <x:c r="E57" s="100" t="n">
        <x:v>97.7</x:v>
      </x:c>
      <x:c r="F57" s="100" t="n">
        <x:v>98.7</x:v>
      </x:c>
      <x:c r="G57" s="100" t="n">
        <x:v>97.7</x:v>
      </x:c>
      <x:c r="H57" s="100" t="n">
        <x:v>97.7</x:v>
      </x:c>
      <x:c r="I57" s="100" t="n">
        <x:f>ROUND(AVERAGE(D57:H57),1)</x:f>
        <x:v>98.1</x:v>
      </x:c>
      <x:c r="J57" s="99" t="str">
        <x:v>Sehr gute bis praktisch muttersprachliche Übersetzungsqualität; keine relevanten Einzelprobleme im geprüften Paket.</x:v>
      </x:c>
    </x:row>
    <x:row r="58" ht="15" hidden="0" customHeight="1">
      <x:c r="A58" s="97" t="str">
        <x:v>Englisch (en)</x:v>
      </x:c>
      <x:c r="B58" s="97" t="str">
        <x:v>P08</x:v>
      </x:c>
      <x:c r="C58" s="97" t="str">
        <x:v>Installation – technische Terminologie</x:v>
      </x:c>
      <x:c r="D58" s="98" t="n">
        <x:v>96</x:v>
      </x:c>
      <x:c r="E58" s="98" t="n">
        <x:v>96</x:v>
      </x:c>
      <x:c r="F58" s="98" t="n">
        <x:v>98</x:v>
      </x:c>
      <x:c r="G58" s="98" t="n">
        <x:v>96</x:v>
      </x:c>
      <x:c r="H58" s="98" t="n">
        <x:v>96</x:v>
      </x:c>
      <x:c r="I58" s="98" t="n">
        <x:f>ROUND(AVERAGE(D58:H58),1)</x:f>
        <x:v>96.4</x:v>
      </x:c>
      <x:c r="J58" s="97" t="str">
        <x:v>Zeit-, Temperatur-, Dimensions- und Gewichtsangaben sind zielsprachlich ausgegeben.</x:v>
      </x:c>
    </x:row>
    <x:row r="59" ht="15" hidden="0" customHeight="1">
      <x:c r="A59" s="99" t="str">
        <x:v>Französisch (fr-FR)</x:v>
      </x:c>
      <x:c r="B59" s="99" t="str">
        <x:v>P08</x:v>
      </x:c>
      <x:c r="C59" s="99" t="str">
        <x:v>Installation – technische Terminologie</x:v>
      </x:c>
      <x:c r="D59" s="100" t="n">
        <x:v>96</x:v>
      </x:c>
      <x:c r="E59" s="100" t="n">
        <x:v>96</x:v>
      </x:c>
      <x:c r="F59" s="100" t="n">
        <x:v>98</x:v>
      </x:c>
      <x:c r="G59" s="100" t="n">
        <x:v>96</x:v>
      </x:c>
      <x:c r="H59" s="100" t="n">
        <x:v>96</x:v>
      </x:c>
      <x:c r="I59" s="100" t="n">
        <x:f>ROUND(AVERAGE(D59:H59),1)</x:f>
        <x:v>96.4</x:v>
      </x:c>
      <x:c r="J59" s="99" t="str">
        <x:v>Zeit-, Temperatur-, Dimensions- und Gewichtsangaben sind zielsprachlich ausgegeben.</x:v>
      </x:c>
    </x:row>
    <x:row r="60" ht="21.600000381469727" hidden="0" customHeight="1">
      <x:c r="A60" s="97" t="str">
        <x:v>Dänisch (da-DK)</x:v>
      </x:c>
      <x:c r="B60" s="97" t="str">
        <x:v>P08</x:v>
      </x:c>
      <x:c r="C60" s="97" t="str">
        <x:v>Installation – technische Terminologie</x:v>
      </x:c>
      <x:c r="D60" s="98" t="n">
        <x:v>99</x:v>
      </x:c>
      <x:c r="E60" s="98" t="n">
        <x:v>98.7</x:v>
      </x:c>
      <x:c r="F60" s="98" t="n">
        <x:v>99</x:v>
      </x:c>
      <x:c r="G60" s="98" t="n">
        <x:v>98.7</x:v>
      </x:c>
      <x:c r="H60" s="98" t="n">
        <x:v>98.7</x:v>
      </x:c>
      <x:c r="I60" s="98" t="n">
        <x:f>ROUND(AVERAGE(D60:H60),1)</x:f>
        <x:v>98.8</x:v>
      </x:c>
      <x:c r="J60" s="97" t="str">
        <x:v>Sehr gute bis praktisch muttersprachliche Übersetzungsqualität; keine relevanten Einzelprobleme im geprüften Paket.</x:v>
      </x:c>
    </x:row>
    <x:row r="61" ht="21.600000381469727" hidden="0" customHeight="1">
      <x:c r="A61" s="99" t="str">
        <x:v>Spanisch (es-ES)</x:v>
      </x:c>
      <x:c r="B61" s="99" t="str">
        <x:v>P08</x:v>
      </x:c>
      <x:c r="C61" s="99" t="str">
        <x:v>Installation – technische Terminologie</x:v>
      </x:c>
      <x:c r="D61" s="100" t="n">
        <x:v>99</x:v>
      </x:c>
      <x:c r="E61" s="100" t="n">
        <x:v>98.7</x:v>
      </x:c>
      <x:c r="F61" s="100" t="n">
        <x:v>99</x:v>
      </x:c>
      <x:c r="G61" s="100" t="n">
        <x:v>98.7</x:v>
      </x:c>
      <x:c r="H61" s="100" t="n">
        <x:v>98.7</x:v>
      </x:c>
      <x:c r="I61" s="100" t="n">
        <x:f>ROUND(AVERAGE(D61:H61),1)</x:f>
        <x:v>98.8</x:v>
      </x:c>
      <x:c r="J61" s="99" t="str">
        <x:v>Sehr gute bis praktisch muttersprachliche Übersetzungsqualität; keine relevanten Einzelprobleme im geprüften Paket.</x:v>
      </x:c>
    </x:row>
    <x:row r="62" ht="21.600000381469727" hidden="0" customHeight="1">
      <x:c r="A62" s="97" t="str">
        <x:v>Niederländisch (nl-NL)</x:v>
      </x:c>
      <x:c r="B62" s="97" t="str">
        <x:v>P08</x:v>
      </x:c>
      <x:c r="C62" s="97" t="str">
        <x:v>Installation – technische Terminologie</x:v>
      </x:c>
      <x:c r="D62" s="98" t="n">
        <x:v>99</x:v>
      </x:c>
      <x:c r="E62" s="98" t="n">
        <x:v>98.7</x:v>
      </x:c>
      <x:c r="F62" s="98" t="n">
        <x:v>99</x:v>
      </x:c>
      <x:c r="G62" s="98" t="n">
        <x:v>98.7</x:v>
      </x:c>
      <x:c r="H62" s="98" t="n">
        <x:v>98.7</x:v>
      </x:c>
      <x:c r="I62" s="98" t="n">
        <x:f>ROUND(AVERAGE(D62:H62),1)</x:f>
        <x:v>98.8</x:v>
      </x:c>
      <x:c r="J62" s="97" t="str">
        <x:v>Sehr gute bis praktisch muttersprachliche Übersetzungsqualität; keine relevanten Einzelprobleme im geprüften Paket.</x:v>
      </x:c>
    </x:row>
    <x:row r="63" ht="21.600000381469727" hidden="0" customHeight="1">
      <x:c r="A63" s="99" t="str">
        <x:v>Norwegisch Bokmål (nb-NO)</x:v>
      </x:c>
      <x:c r="B63" s="99" t="str">
        <x:v>P08</x:v>
      </x:c>
      <x:c r="C63" s="99" t="str">
        <x:v>Installation – technische Terminologie</x:v>
      </x:c>
      <x:c r="D63" s="100" t="n">
        <x:v>99</x:v>
      </x:c>
      <x:c r="E63" s="100" t="n">
        <x:v>98.7</x:v>
      </x:c>
      <x:c r="F63" s="100" t="n">
        <x:v>99</x:v>
      </x:c>
      <x:c r="G63" s="100" t="n">
        <x:v>98.7</x:v>
      </x:c>
      <x:c r="H63" s="100" t="n">
        <x:v>98.7</x:v>
      </x:c>
      <x:c r="I63" s="100" t="n">
        <x:f>ROUND(AVERAGE(D63:H63),1)</x:f>
        <x:v>98.8</x:v>
      </x:c>
      <x:c r="J63" s="99" t="str">
        <x:v>Sehr gute bis praktisch muttersprachliche Übersetzungsqualität; keine relevanten Einzelprobleme im geprüften Paket.</x:v>
      </x:c>
    </x:row>
    <x:row r="64" ht="21.600000381469727" hidden="0" customHeight="1">
      <x:c r="A64" s="97" t="str">
        <x:v>Schwedisch (sv-SE)</x:v>
      </x:c>
      <x:c r="B64" s="97" t="str">
        <x:v>P08</x:v>
      </x:c>
      <x:c r="C64" s="97" t="str">
        <x:v>Installation – technische Terminologie</x:v>
      </x:c>
      <x:c r="D64" s="98" t="n">
        <x:v>99</x:v>
      </x:c>
      <x:c r="E64" s="98" t="n">
        <x:v>98.7</x:v>
      </x:c>
      <x:c r="F64" s="98" t="n">
        <x:v>99</x:v>
      </x:c>
      <x:c r="G64" s="98" t="n">
        <x:v>98.7</x:v>
      </x:c>
      <x:c r="H64" s="98" t="n">
        <x:v>98.7</x:v>
      </x:c>
      <x:c r="I64" s="98" t="n">
        <x:f>ROUND(AVERAGE(D64:H64),1)</x:f>
        <x:v>98.8</x:v>
      </x:c>
      <x:c r="J64" s="97" t="str">
        <x:v>Sehr gute bis praktisch muttersprachliche Übersetzungsqualität; keine relevanten Einzelprobleme im geprüften Paket.</x:v>
      </x:c>
    </x:row>
    <x:row r="65" ht="21.600000381469727" hidden="0" customHeight="1">
      <x:c r="A65" s="99" t="str">
        <x:v>Englisch (en)</x:v>
      </x:c>
      <x:c r="B65" s="99" t="str">
        <x:v>P09</x:v>
      </x:c>
      <x:c r="C65" s="99" t="str">
        <x:v>Dynamische Guide-Titel</x:v>
      </x:c>
      <x:c r="D65" s="100" t="n">
        <x:v>98</x:v>
      </x:c>
      <x:c r="E65" s="100" t="n">
        <x:v>97</x:v>
      </x:c>
      <x:c r="F65" s="100" t="n">
        <x:v>98</x:v>
      </x:c>
      <x:c r="G65" s="100" t="n">
        <x:v>97</x:v>
      </x:c>
      <x:c r="H65" s="100" t="n">
        <x:v>97</x:v>
      </x:c>
      <x:c r="I65" s="100" t="n">
        <x:f>ROUND(AVERAGE(D65:H65),1)</x:f>
        <x:v>97.4</x:v>
      </x:c>
      <x:c r="J65" s="99" t="str">
        <x:v>Sehr gute bis praktisch muttersprachliche Übersetzungsqualität; keine relevanten offenen Einzelprobleme im geprüften Paket.</x:v>
      </x:c>
    </x:row>
    <x:row r="66" ht="21.600000381469727" hidden="0" customHeight="1">
      <x:c r="A66" s="97" t="str">
        <x:v>Französisch (fr-FR)</x:v>
      </x:c>
      <x:c r="B66" s="97" t="str">
        <x:v>P09</x:v>
      </x:c>
      <x:c r="C66" s="97" t="str">
        <x:v>Dynamische Guide-Titel</x:v>
      </x:c>
      <x:c r="D66" s="98" t="n">
        <x:v>98</x:v>
      </x:c>
      <x:c r="E66" s="98" t="n">
        <x:v>97</x:v>
      </x:c>
      <x:c r="F66" s="98" t="n">
        <x:v>98</x:v>
      </x:c>
      <x:c r="G66" s="98" t="n">
        <x:v>97</x:v>
      </x:c>
      <x:c r="H66" s="98" t="n">
        <x:v>97</x:v>
      </x:c>
      <x:c r="I66" s="98" t="n">
        <x:f>ROUND(AVERAGE(D66:H66),1)</x:f>
        <x:v>97.4</x:v>
      </x:c>
      <x:c r="J66" s="97" t="str">
        <x:v>Sehr gute bis praktisch muttersprachliche Übersetzungsqualität; keine relevanten offenen Einzelprobleme im geprüften Paket.</x:v>
      </x:c>
    </x:row>
    <x:row r="67" ht="21.600000381469727" hidden="0" customHeight="1">
      <x:c r="A67" s="99" t="str">
        <x:v>Dänisch (da-DK)</x:v>
      </x:c>
      <x:c r="B67" s="99" t="str">
        <x:v>P09</x:v>
      </x:c>
      <x:c r="C67" s="99" t="str">
        <x:v>Dynamische Guide-Titel</x:v>
      </x:c>
      <x:c r="D67" s="100" t="n">
        <x:v>99</x:v>
      </x:c>
      <x:c r="E67" s="100" t="n">
        <x:v>98.7</x:v>
      </x:c>
      <x:c r="F67" s="100" t="n">
        <x:v>99</x:v>
      </x:c>
      <x:c r="G67" s="100" t="n">
        <x:v>98.7</x:v>
      </x:c>
      <x:c r="H67" s="100" t="n">
        <x:v>98.7</x:v>
      </x:c>
      <x:c r="I67" s="100" t="n">
        <x:f>ROUND(AVERAGE(D67:H67),1)</x:f>
        <x:v>98.8</x:v>
      </x:c>
      <x:c r="J67" s="99" t="str">
        <x:v>Sehr gute bis praktisch muttersprachliche Übersetzungsqualität; keine relevanten Einzelprobleme im geprüften Paket.</x:v>
      </x:c>
    </x:row>
    <x:row r="68" ht="21.600000381469727" hidden="0" customHeight="1">
      <x:c r="A68" s="97" t="str">
        <x:v>Spanisch (es-ES)</x:v>
      </x:c>
      <x:c r="B68" s="97" t="str">
        <x:v>P09</x:v>
      </x:c>
      <x:c r="C68" s="97" t="str">
        <x:v>Dynamische Guide-Titel</x:v>
      </x:c>
      <x:c r="D68" s="98" t="n">
        <x:v>99</x:v>
      </x:c>
      <x:c r="E68" s="98" t="n">
        <x:v>98.7</x:v>
      </x:c>
      <x:c r="F68" s="98" t="n">
        <x:v>99</x:v>
      </x:c>
      <x:c r="G68" s="98" t="n">
        <x:v>98.7</x:v>
      </x:c>
      <x:c r="H68" s="98" t="n">
        <x:v>98.7</x:v>
      </x:c>
      <x:c r="I68" s="98" t="n">
        <x:f>ROUND(AVERAGE(D68:H68),1)</x:f>
        <x:v>98.8</x:v>
      </x:c>
      <x:c r="J68" s="97" t="str">
        <x:v>Sehr gute bis praktisch muttersprachliche Übersetzungsqualität; keine relevanten Einzelprobleme im geprüften Paket.</x:v>
      </x:c>
    </x:row>
    <x:row r="69" ht="21.600000381469727" hidden="0" customHeight="1">
      <x:c r="A69" s="99" t="str">
        <x:v>Niederländisch (nl-NL)</x:v>
      </x:c>
      <x:c r="B69" s="99" t="str">
        <x:v>P09</x:v>
      </x:c>
      <x:c r="C69" s="99" t="str">
        <x:v>Dynamische Guide-Titel</x:v>
      </x:c>
      <x:c r="D69" s="100" t="n">
        <x:v>99</x:v>
      </x:c>
      <x:c r="E69" s="100" t="n">
        <x:v>98.7</x:v>
      </x:c>
      <x:c r="F69" s="100" t="n">
        <x:v>99</x:v>
      </x:c>
      <x:c r="G69" s="100" t="n">
        <x:v>98.7</x:v>
      </x:c>
      <x:c r="H69" s="100" t="n">
        <x:v>98.7</x:v>
      </x:c>
      <x:c r="I69" s="100" t="n">
        <x:f>ROUND(AVERAGE(D69:H69),1)</x:f>
        <x:v>98.8</x:v>
      </x:c>
      <x:c r="J69" s="99" t="str">
        <x:v>Sehr gute bis praktisch muttersprachliche Übersetzungsqualität; keine relevanten Einzelprobleme im geprüften Paket.</x:v>
      </x:c>
    </x:row>
    <x:row r="70" ht="21.600000381469727" hidden="0" customHeight="1">
      <x:c r="A70" s="97" t="str">
        <x:v>Norwegisch Bokmål (nb-NO)</x:v>
      </x:c>
      <x:c r="B70" s="97" t="str">
        <x:v>P09</x:v>
      </x:c>
      <x:c r="C70" s="97" t="str">
        <x:v>Dynamische Guide-Titel</x:v>
      </x:c>
      <x:c r="D70" s="98" t="n">
        <x:v>99</x:v>
      </x:c>
      <x:c r="E70" s="98" t="n">
        <x:v>98.7</x:v>
      </x:c>
      <x:c r="F70" s="98" t="n">
        <x:v>99</x:v>
      </x:c>
      <x:c r="G70" s="98" t="n">
        <x:v>98.7</x:v>
      </x:c>
      <x:c r="H70" s="98" t="n">
        <x:v>98.7</x:v>
      </x:c>
      <x:c r="I70" s="98" t="n">
        <x:f>ROUND(AVERAGE(D70:H70),1)</x:f>
        <x:v>98.8</x:v>
      </x:c>
      <x:c r="J70" s="97" t="str">
        <x:v>Sehr gute bis praktisch muttersprachliche Übersetzungsqualität; keine relevanten Einzelprobleme im geprüften Paket.</x:v>
      </x:c>
    </x:row>
    <x:row r="71" ht="21.600000381469727" hidden="0" customHeight="1">
      <x:c r="A71" s="99" t="str">
        <x:v>Schwedisch (sv-SE)</x:v>
      </x:c>
      <x:c r="B71" s="99" t="str">
        <x:v>P09</x:v>
      </x:c>
      <x:c r="C71" s="99" t="str">
        <x:v>Dynamische Guide-Titel</x:v>
      </x:c>
      <x:c r="D71" s="100" t="n">
        <x:v>99</x:v>
      </x:c>
      <x:c r="E71" s="100" t="n">
        <x:v>98.7</x:v>
      </x:c>
      <x:c r="F71" s="100" t="n">
        <x:v>99</x:v>
      </x:c>
      <x:c r="G71" s="100" t="n">
        <x:v>98.7</x:v>
      </x:c>
      <x:c r="H71" s="100" t="n">
        <x:v>98.7</x:v>
      </x:c>
      <x:c r="I71" s="100" t="n">
        <x:f>ROUND(AVERAGE(D71:H71),1)</x:f>
        <x:v>98.8</x:v>
      </x:c>
      <x:c r="J71" s="99" t="str">
        <x:v>Sehr gute bis praktisch muttersprachliche Übersetzungsqualität; keine relevanten Einzelprobleme im geprüften Paket.</x:v>
      </x:c>
    </x:row>
    <x:row r="72" ht="21.600000381469727" hidden="0" customHeight="1">
      <x:c r="A72" s="97" t="str">
        <x:v>Englisch (en)</x:v>
      </x:c>
      <x:c r="B72" s="97" t="str">
        <x:v>P10</x:v>
      </x:c>
      <x:c r="C72" s="97" t="str">
        <x:v>Universelle Installationsanleitung</x:v>
      </x:c>
      <x:c r="D72" s="98" t="n">
        <x:v>98</x:v>
      </x:c>
      <x:c r="E72" s="98" t="n">
        <x:v>97</x:v>
      </x:c>
      <x:c r="F72" s="98" t="n">
        <x:v>98</x:v>
      </x:c>
      <x:c r="G72" s="98" t="n">
        <x:v>97</x:v>
      </x:c>
      <x:c r="H72" s="98" t="n">
        <x:v>97</x:v>
      </x:c>
      <x:c r="I72" s="98" t="n">
        <x:f>ROUND(AVERAGE(D72:H72),1)</x:f>
        <x:v>97.4</x:v>
      </x:c>
      <x:c r="J72" s="97" t="str">
        <x:v>Sehr gute bis praktisch muttersprachliche Übersetzungsqualität; keine relevanten offenen Einzelprobleme im geprüften Paket.</x:v>
      </x:c>
    </x:row>
    <x:row r="73" ht="21.600000381469727" hidden="0" customHeight="1">
      <x:c r="A73" s="99" t="str">
        <x:v>Französisch (fr-FR)</x:v>
      </x:c>
      <x:c r="B73" s="99" t="str">
        <x:v>P10</x:v>
      </x:c>
      <x:c r="C73" s="99" t="str">
        <x:v>Universelle Installationsanleitung</x:v>
      </x:c>
      <x:c r="D73" s="100" t="n">
        <x:v>98</x:v>
      </x:c>
      <x:c r="E73" s="100" t="n">
        <x:v>97</x:v>
      </x:c>
      <x:c r="F73" s="100" t="n">
        <x:v>98</x:v>
      </x:c>
      <x:c r="G73" s="100" t="n">
        <x:v>97</x:v>
      </x:c>
      <x:c r="H73" s="100" t="n">
        <x:v>97</x:v>
      </x:c>
      <x:c r="I73" s="100" t="n">
        <x:f>ROUND(AVERAGE(D73:H73),1)</x:f>
        <x:v>97.4</x:v>
      </x:c>
      <x:c r="J73" s="99" t="str">
        <x:v>Sehr gute bis praktisch muttersprachliche Übersetzungsqualität; keine relevanten offenen Einzelprobleme im geprüften Paket.</x:v>
      </x:c>
    </x:row>
    <x:row r="74" ht="21.600000381469727" hidden="0" customHeight="1">
      <x:c r="A74" s="97" t="str">
        <x:v>Dänisch (da-DK)</x:v>
      </x:c>
      <x:c r="B74" s="97" t="str">
        <x:v>P10</x:v>
      </x:c>
      <x:c r="C74" s="97" t="str">
        <x:v>Universelle Installationsanleitung</x:v>
      </x:c>
      <x:c r="D74" s="98" t="n">
        <x:v>99</x:v>
      </x:c>
      <x:c r="E74" s="98" t="n">
        <x:v>97.2</x:v>
      </x:c>
      <x:c r="F74" s="98" t="n">
        <x:v>99</x:v>
      </x:c>
      <x:c r="G74" s="98" t="n">
        <x:v>97.2</x:v>
      </x:c>
      <x:c r="H74" s="98" t="n">
        <x:v>98.2</x:v>
      </x:c>
      <x:c r="I74" s="98" t="n">
        <x:f>ROUND(AVERAGE(D74:H74),1)</x:f>
        <x:v>98.1</x:v>
      </x:c>
      <x:c r="J74" s="97" t="str">
        <x:v>Sehr gute bis praktisch muttersprachliche Übersetzungsqualität; keine relevanten Einzelprobleme im geprüften Paket.</x:v>
      </x:c>
    </x:row>
    <x:row r="75" ht="21.600000381469727" hidden="0" customHeight="1">
      <x:c r="A75" s="99" t="str">
        <x:v>Spanisch (es-ES)</x:v>
      </x:c>
      <x:c r="B75" s="99" t="str">
        <x:v>P10</x:v>
      </x:c>
      <x:c r="C75" s="99" t="str">
        <x:v>Universelle Installationsanleitung</x:v>
      </x:c>
      <x:c r="D75" s="100" t="n">
        <x:v>99</x:v>
      </x:c>
      <x:c r="E75" s="100" t="n">
        <x:v>97.2</x:v>
      </x:c>
      <x:c r="F75" s="100" t="n">
        <x:v>99</x:v>
      </x:c>
      <x:c r="G75" s="100" t="n">
        <x:v>97.2</x:v>
      </x:c>
      <x:c r="H75" s="100" t="n">
        <x:v>98.2</x:v>
      </x:c>
      <x:c r="I75" s="100" t="n">
        <x:f>ROUND(AVERAGE(D75:H75),1)</x:f>
        <x:v>98.1</x:v>
      </x:c>
      <x:c r="J75" s="99" t="str">
        <x:v>Sehr gute bis praktisch muttersprachliche Übersetzungsqualität; keine relevanten Einzelprobleme im geprüften Paket.</x:v>
      </x:c>
    </x:row>
    <x:row r="76" ht="15" hidden="0" customHeight="1">
      <x:c r="A76" s="97" t="str">
        <x:v>Niederländisch (nl-NL)</x:v>
      </x:c>
      <x:c r="B76" s="97" t="str">
        <x:v>P10</x:v>
      </x:c>
      <x:c r="C76" s="97" t="str">
        <x:v>Universelle Installationsanleitung</x:v>
      </x:c>
      <x:c r="D76" s="98" t="n">
        <x:v>92.2</x:v>
      </x:c>
      <x:c r="E76" s="98" t="n">
        <x:v>93.2</x:v>
      </x:c>
      <x:c r="F76" s="98" t="n">
        <x:v>97.2</x:v>
      </x:c>
      <x:c r="G76" s="98" t="n">
        <x:v>89.2</x:v>
      </x:c>
      <x:c r="H76" s="98" t="n">
        <x:v>95.2</x:v>
      </x:c>
      <x:c r="I76" s="98" t="n">
        <x:f>ROUND(AVERAGE(D76:H76),1)</x:f>
        <x:v>93.4</x:v>
      </x:c>
      <x:c r="J76" s="97" t="str">
        <x:v>Insgesamt gut; ein technischer Warnhinweis verwischt Heckstrahlruder/„Achterschiff“.</x:v>
      </x:c>
    </x:row>
    <x:row r="77" ht="21.600000381469727" hidden="0" customHeight="1">
      <x:c r="A77" s="99" t="str">
        <x:v>Norwegisch Bokmål (nb-NO)</x:v>
      </x:c>
      <x:c r="B77" s="99" t="str">
        <x:v>P10</x:v>
      </x:c>
      <x:c r="C77" s="99" t="str">
        <x:v>Universelle Installationsanleitung</x:v>
      </x:c>
      <x:c r="D77" s="100" t="n">
        <x:v>99</x:v>
      </x:c>
      <x:c r="E77" s="100" t="n">
        <x:v>97.2</x:v>
      </x:c>
      <x:c r="F77" s="100" t="n">
        <x:v>99</x:v>
      </x:c>
      <x:c r="G77" s="100" t="n">
        <x:v>97.2</x:v>
      </x:c>
      <x:c r="H77" s="100" t="n">
        <x:v>98.2</x:v>
      </x:c>
      <x:c r="I77" s="100" t="n">
        <x:f>ROUND(AVERAGE(D77:H77),1)</x:f>
        <x:v>98.1</x:v>
      </x:c>
      <x:c r="J77" s="99" t="str">
        <x:v>Sehr gute bis praktisch muttersprachliche Übersetzungsqualität; keine relevanten Einzelprobleme im geprüften Paket.</x:v>
      </x:c>
    </x:row>
    <x:row r="78" ht="21.600000381469727" hidden="0" customHeight="1">
      <x:c r="A78" s="97" t="str">
        <x:v>Schwedisch (sv-SE)</x:v>
      </x:c>
      <x:c r="B78" s="97" t="str">
        <x:v>P10</x:v>
      </x:c>
      <x:c r="C78" s="97" t="str">
        <x:v>Universelle Installationsanleitung</x:v>
      </x:c>
      <x:c r="D78" s="98" t="n">
        <x:v>99</x:v>
      </x:c>
      <x:c r="E78" s="98" t="n">
        <x:v>97.2</x:v>
      </x:c>
      <x:c r="F78" s="98" t="n">
        <x:v>99</x:v>
      </x:c>
      <x:c r="G78" s="98" t="n">
        <x:v>97.2</x:v>
      </x:c>
      <x:c r="H78" s="98" t="n">
        <x:v>98.2</x:v>
      </x:c>
      <x:c r="I78" s="98" t="n">
        <x:f>ROUND(AVERAGE(D78:H78),1)</x:f>
        <x:v>98.1</x:v>
      </x:c>
      <x:c r="J78" s="97" t="str">
        <x:v>Sehr gute bis praktisch muttersprachliche Übersetzungsqualität; keine relevanten Einzelprobleme im geprüften Paket.</x:v>
      </x:c>
    </x:row>
    <x:row r="79" ht="21.600000381469727" hidden="0" customHeight="1">
      <x:c r="A79" s="99" t="str">
        <x:v>Englisch (en)</x:v>
      </x:c>
      <x:c r="B79" s="99" t="str">
        <x:v>P11</x:v>
      </x:c>
      <x:c r="C79" s="99" t="str">
        <x:v>FAQ-Shell</x:v>
      </x:c>
      <x:c r="D79" s="100" t="n">
        <x:v>98</x:v>
      </x:c>
      <x:c r="E79" s="100" t="n">
        <x:v>97</x:v>
      </x:c>
      <x:c r="F79" s="100" t="n">
        <x:v>98</x:v>
      </x:c>
      <x:c r="G79" s="100" t="n">
        <x:v>97</x:v>
      </x:c>
      <x:c r="H79" s="100" t="n">
        <x:v>97</x:v>
      </x:c>
      <x:c r="I79" s="100" t="n">
        <x:f>ROUND(AVERAGE(D79:H79),1)</x:f>
        <x:v>97.4</x:v>
      </x:c>
      <x:c r="J79" s="99" t="str">
        <x:v>Sehr gute bis praktisch muttersprachliche Übersetzungsqualität; keine relevanten offenen Einzelprobleme im geprüften Paket.</x:v>
      </x:c>
    </x:row>
    <x:row r="80" ht="21.600000381469727" hidden="0" customHeight="1">
      <x:c r="A80" s="97" t="str">
        <x:v>Französisch (fr-FR)</x:v>
      </x:c>
      <x:c r="B80" s="97" t="str">
        <x:v>P11</x:v>
      </x:c>
      <x:c r="C80" s="97" t="str">
        <x:v>FAQ-Shell</x:v>
      </x:c>
      <x:c r="D80" s="98" t="n">
        <x:v>98</x:v>
      </x:c>
      <x:c r="E80" s="98" t="n">
        <x:v>97</x:v>
      </x:c>
      <x:c r="F80" s="98" t="n">
        <x:v>98</x:v>
      </x:c>
      <x:c r="G80" s="98" t="n">
        <x:v>97</x:v>
      </x:c>
      <x:c r="H80" s="98" t="n">
        <x:v>97</x:v>
      </x:c>
      <x:c r="I80" s="98" t="n">
        <x:f>ROUND(AVERAGE(D80:H80),1)</x:f>
        <x:v>97.4</x:v>
      </x:c>
      <x:c r="J80" s="97" t="str">
        <x:v>Sehr gute bis praktisch muttersprachliche Übersetzungsqualität; keine relevanten offenen Einzelprobleme im geprüften Paket.</x:v>
      </x:c>
    </x:row>
    <x:row r="81" ht="21.600000381469727" hidden="0" customHeight="1">
      <x:c r="A81" s="99" t="str">
        <x:v>Dänisch (da-DK)</x:v>
      </x:c>
      <x:c r="B81" s="99" t="str">
        <x:v>P11</x:v>
      </x:c>
      <x:c r="C81" s="99" t="str">
        <x:v>FAQ-Shell</x:v>
      </x:c>
      <x:c r="D81" s="100" t="n">
        <x:v>99</x:v>
      </x:c>
      <x:c r="E81" s="100" t="n">
        <x:v>98.7</x:v>
      </x:c>
      <x:c r="F81" s="100" t="n">
        <x:v>99</x:v>
      </x:c>
      <x:c r="G81" s="100" t="n">
        <x:v>98.7</x:v>
      </x:c>
      <x:c r="H81" s="100" t="n">
        <x:v>98.7</x:v>
      </x:c>
      <x:c r="I81" s="100" t="n">
        <x:f>ROUND(AVERAGE(D81:H81),1)</x:f>
        <x:v>98.8</x:v>
      </x:c>
      <x:c r="J81" s="99" t="str">
        <x:v>Sehr gute bis praktisch muttersprachliche Übersetzungsqualität; keine relevanten Einzelprobleme im geprüften Paket.</x:v>
      </x:c>
    </x:row>
    <x:row r="82" ht="21.600000381469727" hidden="0" customHeight="1">
      <x:c r="A82" s="97" t="str">
        <x:v>Spanisch (es-ES)</x:v>
      </x:c>
      <x:c r="B82" s="97" t="str">
        <x:v>P11</x:v>
      </x:c>
      <x:c r="C82" s="97" t="str">
        <x:v>FAQ-Shell</x:v>
      </x:c>
      <x:c r="D82" s="98" t="n">
        <x:v>99</x:v>
      </x:c>
      <x:c r="E82" s="98" t="n">
        <x:v>98.7</x:v>
      </x:c>
      <x:c r="F82" s="98" t="n">
        <x:v>99</x:v>
      </x:c>
      <x:c r="G82" s="98" t="n">
        <x:v>98.7</x:v>
      </x:c>
      <x:c r="H82" s="98" t="n">
        <x:v>98.7</x:v>
      </x:c>
      <x:c r="I82" s="98" t="n">
        <x:f>ROUND(AVERAGE(D82:H82),1)</x:f>
        <x:v>98.8</x:v>
      </x:c>
      <x:c r="J82" s="97" t="str">
        <x:v>Sehr gute bis praktisch muttersprachliche Übersetzungsqualität; keine relevanten Einzelprobleme im geprüften Paket.</x:v>
      </x:c>
    </x:row>
    <x:row r="83" ht="21.600000381469727" hidden="0" customHeight="1">
      <x:c r="A83" s="99" t="str">
        <x:v>Niederländisch (nl-NL)</x:v>
      </x:c>
      <x:c r="B83" s="99" t="str">
        <x:v>P11</x:v>
      </x:c>
      <x:c r="C83" s="99" t="str">
        <x:v>FAQ-Shell</x:v>
      </x:c>
      <x:c r="D83" s="100" t="n">
        <x:v>99</x:v>
      </x:c>
      <x:c r="E83" s="100" t="n">
        <x:v>98.7</x:v>
      </x:c>
      <x:c r="F83" s="100" t="n">
        <x:v>99</x:v>
      </x:c>
      <x:c r="G83" s="100" t="n">
        <x:v>98.7</x:v>
      </x:c>
      <x:c r="H83" s="100" t="n">
        <x:v>98.7</x:v>
      </x:c>
      <x:c r="I83" s="100" t="n">
        <x:f>ROUND(AVERAGE(D83:H83),1)</x:f>
        <x:v>98.8</x:v>
      </x:c>
      <x:c r="J83" s="99" t="str">
        <x:v>Sehr gute bis praktisch muttersprachliche Übersetzungsqualität; keine relevanten Einzelprobleme im geprüften Paket.</x:v>
      </x:c>
    </x:row>
    <x:row r="84" ht="21.600000381469727" hidden="0" customHeight="1">
      <x:c r="A84" s="97" t="str">
        <x:v>Norwegisch Bokmål (nb-NO)</x:v>
      </x:c>
      <x:c r="B84" s="97" t="str">
        <x:v>P11</x:v>
      </x:c>
      <x:c r="C84" s="97" t="str">
        <x:v>FAQ-Shell</x:v>
      </x:c>
      <x:c r="D84" s="98" t="n">
        <x:v>99</x:v>
      </x:c>
      <x:c r="E84" s="98" t="n">
        <x:v>98.7</x:v>
      </x:c>
      <x:c r="F84" s="98" t="n">
        <x:v>99</x:v>
      </x:c>
      <x:c r="G84" s="98" t="n">
        <x:v>98.7</x:v>
      </x:c>
      <x:c r="H84" s="98" t="n">
        <x:v>98.7</x:v>
      </x:c>
      <x:c r="I84" s="98" t="n">
        <x:f>ROUND(AVERAGE(D84:H84),1)</x:f>
        <x:v>98.8</x:v>
      </x:c>
      <x:c r="J84" s="97" t="str">
        <x:v>Sehr gute bis praktisch muttersprachliche Übersetzungsqualität; keine relevanten Einzelprobleme im geprüften Paket.</x:v>
      </x:c>
    </x:row>
    <x:row r="85" ht="21.600000381469727" hidden="0" customHeight="1">
      <x:c r="A85" s="99" t="str">
        <x:v>Schwedisch (sv-SE)</x:v>
      </x:c>
      <x:c r="B85" s="99" t="str">
        <x:v>P11</x:v>
      </x:c>
      <x:c r="C85" s="99" t="str">
        <x:v>FAQ-Shell</x:v>
      </x:c>
      <x:c r="D85" s="100" t="n">
        <x:v>99</x:v>
      </x:c>
      <x:c r="E85" s="100" t="n">
        <x:v>98.7</x:v>
      </x:c>
      <x:c r="F85" s="100" t="n">
        <x:v>99</x:v>
      </x:c>
      <x:c r="G85" s="100" t="n">
        <x:v>98.7</x:v>
      </x:c>
      <x:c r="H85" s="100" t="n">
        <x:v>98.7</x:v>
      </x:c>
      <x:c r="I85" s="100" t="n">
        <x:f>ROUND(AVERAGE(D85:H85),1)</x:f>
        <x:v>98.8</x:v>
      </x:c>
      <x:c r="J85" s="99" t="str">
        <x:v>Sehr gute bis praktisch muttersprachliche Übersetzungsqualität; keine relevanten Einzelprobleme im geprüften Paket.</x:v>
      </x:c>
    </x:row>
    <x:row r="86" ht="21.600000381469727" hidden="0" customHeight="1">
      <x:c r="A86" s="97" t="str">
        <x:v>Englisch (en)</x:v>
      </x:c>
      <x:c r="B86" s="97" t="str">
        <x:v>P12</x:v>
      </x:c>
      <x:c r="C86" s="97" t="str">
        <x:v>FAQ-Inhalte (11 FAQs)</x:v>
      </x:c>
      <x:c r="D86" s="98" t="n">
        <x:v>98</x:v>
      </x:c>
      <x:c r="E86" s="98" t="n">
        <x:v>97</x:v>
      </x:c>
      <x:c r="F86" s="98" t="n">
        <x:v>98</x:v>
      </x:c>
      <x:c r="G86" s="98" t="n">
        <x:v>97</x:v>
      </x:c>
      <x:c r="H86" s="98" t="n">
        <x:v>97</x:v>
      </x:c>
      <x:c r="I86" s="98" t="n">
        <x:f>ROUND(AVERAGE(D86:H86),1)</x:f>
        <x:v>97.4</x:v>
      </x:c>
      <x:c r="J86" s="97" t="str">
        <x:v>Sehr gute bis praktisch muttersprachliche Übersetzungsqualität; keine relevanten offenen Einzelprobleme im geprüften Paket.</x:v>
      </x:c>
    </x:row>
    <x:row r="87" ht="21.600000381469727" hidden="0" customHeight="1">
      <x:c r="A87" s="99" t="str">
        <x:v>Französisch (fr-FR)</x:v>
      </x:c>
      <x:c r="B87" s="99" t="str">
        <x:v>P12</x:v>
      </x:c>
      <x:c r="C87" s="99" t="str">
        <x:v>FAQ-Inhalte (11 FAQs)</x:v>
      </x:c>
      <x:c r="D87" s="100" t="n">
        <x:v>98</x:v>
      </x:c>
      <x:c r="E87" s="100" t="n">
        <x:v>97</x:v>
      </x:c>
      <x:c r="F87" s="100" t="n">
        <x:v>98</x:v>
      </x:c>
      <x:c r="G87" s="100" t="n">
        <x:v>97</x:v>
      </x:c>
      <x:c r="H87" s="100" t="n">
        <x:v>97</x:v>
      </x:c>
      <x:c r="I87" s="100" t="n">
        <x:f>ROUND(AVERAGE(D87:H87),1)</x:f>
        <x:v>97.4</x:v>
      </x:c>
      <x:c r="J87" s="99" t="str">
        <x:v>Sehr gute bis praktisch muttersprachliche Übersetzungsqualität; keine relevanten offenen Einzelprobleme im geprüften Paket.</x:v>
      </x:c>
    </x:row>
    <x:row r="88" ht="21.600000381469727" hidden="0" customHeight="1">
      <x:c r="A88" s="97" t="str">
        <x:v>Dänisch (da-DK)</x:v>
      </x:c>
      <x:c r="B88" s="97" t="str">
        <x:v>P12</x:v>
      </x:c>
      <x:c r="C88" s="97" t="str">
        <x:v>FAQ-Inhalte (11 FAQs)</x:v>
      </x:c>
      <x:c r="D88" s="98" t="n">
        <x:v>98.7</x:v>
      </x:c>
      <x:c r="E88" s="98" t="n">
        <x:v>97.7</x:v>
      </x:c>
      <x:c r="F88" s="98" t="n">
        <x:v>98.7</x:v>
      </x:c>
      <x:c r="G88" s="98" t="n">
        <x:v>97.7</x:v>
      </x:c>
      <x:c r="H88" s="98" t="n">
        <x:v>97.7</x:v>
      </x:c>
      <x:c r="I88" s="98" t="n">
        <x:f>ROUND(AVERAGE(D88:H88),1)</x:f>
        <x:v>98.1</x:v>
      </x:c>
      <x:c r="J88" s="97" t="str">
        <x:v>Sehr gute bis praktisch muttersprachliche Übersetzungsqualität; keine relevanten Einzelprobleme im geprüften Paket.</x:v>
      </x:c>
    </x:row>
    <x:row r="89" ht="15" hidden="0" customHeight="1">
      <x:c r="A89" s="99" t="str">
        <x:v>Spanisch (es-ES)</x:v>
      </x:c>
      <x:c r="B89" s="99" t="str">
        <x:v>P12</x:v>
      </x:c>
      <x:c r="C89" s="99" t="str">
        <x:v>FAQ-Inhalte (11 FAQs)</x:v>
      </x:c>
      <x:c r="D89" s="100" t="n">
        <x:v>97.7</x:v>
      </x:c>
      <x:c r="E89" s="100" t="n">
        <x:v>91.7</x:v>
      </x:c>
      <x:c r="F89" s="100" t="n">
        <x:v>98.7</x:v>
      </x:c>
      <x:c r="G89" s="100" t="n">
        <x:v>94.7</x:v>
      </x:c>
      <x:c r="H89" s="100" t="n">
        <x:v>96.7</x:v>
      </x:c>
      <x:c r="I89" s="100" t="n">
        <x:f>ROUND(AVERAGE(D89:H89),1)</x:f>
        <x:v>95.9</x:v>
      </x:c>
      <x:c r="J89" s="99" t="str">
        <x:v>Inhaltlich korrekt; FAQ zur Nachrüstung klingt unnötig quellsprachennah.</x:v>
      </x:c>
    </x:row>
    <x:row r="90" ht="21.600000381469727" hidden="0" customHeight="1">
      <x:c r="A90" s="97" t="str">
        <x:v>Niederländisch (nl-NL)</x:v>
      </x:c>
      <x:c r="B90" s="97" t="str">
        <x:v>P12</x:v>
      </x:c>
      <x:c r="C90" s="97" t="str">
        <x:v>FAQ-Inhalte (11 FAQs)</x:v>
      </x:c>
      <x:c r="D90" s="98" t="n">
        <x:v>98.7</x:v>
      </x:c>
      <x:c r="E90" s="98" t="n">
        <x:v>97.7</x:v>
      </x:c>
      <x:c r="F90" s="98" t="n">
        <x:v>98.7</x:v>
      </x:c>
      <x:c r="G90" s="98" t="n">
        <x:v>97.7</x:v>
      </x:c>
      <x:c r="H90" s="98" t="n">
        <x:v>97.7</x:v>
      </x:c>
      <x:c r="I90" s="98" t="n">
        <x:f>ROUND(AVERAGE(D90:H90),1)</x:f>
        <x:v>98.1</x:v>
      </x:c>
      <x:c r="J90" s="97" t="str">
        <x:v>Sehr gute bis praktisch muttersprachliche Übersetzungsqualität; keine relevanten Einzelprobleme im geprüften Paket.</x:v>
      </x:c>
    </x:row>
    <x:row r="91" ht="21.600000381469727" hidden="0" customHeight="1">
      <x:c r="A91" s="99" t="str">
        <x:v>Norwegisch Bokmål (nb-NO)</x:v>
      </x:c>
      <x:c r="B91" s="99" t="str">
        <x:v>P12</x:v>
      </x:c>
      <x:c r="C91" s="99" t="str">
        <x:v>FAQ-Inhalte (11 FAQs)</x:v>
      </x:c>
      <x:c r="D91" s="100" t="n">
        <x:v>98.7</x:v>
      </x:c>
      <x:c r="E91" s="100" t="n">
        <x:v>97.7</x:v>
      </x:c>
      <x:c r="F91" s="100" t="n">
        <x:v>98.7</x:v>
      </x:c>
      <x:c r="G91" s="100" t="n">
        <x:v>97.7</x:v>
      </x:c>
      <x:c r="H91" s="100" t="n">
        <x:v>97.7</x:v>
      </x:c>
      <x:c r="I91" s="100" t="n">
        <x:f>ROUND(AVERAGE(D91:H91),1)</x:f>
        <x:v>98.1</x:v>
      </x:c>
      <x:c r="J91" s="99" t="str">
        <x:v>Sehr gute bis praktisch muttersprachliche Übersetzungsqualität; keine relevanten Einzelprobleme im geprüften Paket.</x:v>
      </x:c>
    </x:row>
    <x:row r="92" ht="21.600000381469727" hidden="0" customHeight="1">
      <x:c r="A92" s="97" t="str">
        <x:v>Schwedisch (sv-SE)</x:v>
      </x:c>
      <x:c r="B92" s="97" t="str">
        <x:v>P12</x:v>
      </x:c>
      <x:c r="C92" s="97" t="str">
        <x:v>FAQ-Inhalte (11 FAQs)</x:v>
      </x:c>
      <x:c r="D92" s="98" t="n">
        <x:v>98.7</x:v>
      </x:c>
      <x:c r="E92" s="98" t="n">
        <x:v>97.7</x:v>
      </x:c>
      <x:c r="F92" s="98" t="n">
        <x:v>98.7</x:v>
      </x:c>
      <x:c r="G92" s="98" t="n">
        <x:v>97.7</x:v>
      </x:c>
      <x:c r="H92" s="98" t="n">
        <x:v>97.7</x:v>
      </x:c>
      <x:c r="I92" s="98" t="n">
        <x:f>ROUND(AVERAGE(D92:H92),1)</x:f>
        <x:v>98.1</x:v>
      </x:c>
      <x:c r="J92" s="97" t="str">
        <x:v>Sehr gute bis praktisch muttersprachliche Übersetzungsqualität; keine relevanten Einzelprobleme im geprüften Paket.</x:v>
      </x:c>
    </x:row>
    <x:row r="93" ht="15" hidden="0" customHeight="1">
      <x:c r="A93" s="99" t="str">
        <x:v>Englisch (en)</x:v>
      </x:c>
      <x:c r="B93" s="99" t="str">
        <x:v>P13</x:v>
      </x:c>
      <x:c r="C93" s="99" t="str">
        <x:v>Händlersuche</x:v>
      </x:c>
      <x:c r="D93" s="100" t="n">
        <x:v>99</x:v>
      </x:c>
      <x:c r="E93" s="100" t="n">
        <x:v>98</x:v>
      </x:c>
      <x:c r="F93" s="100" t="n">
        <x:v>99</x:v>
      </x:c>
      <x:c r="G93" s="100" t="n">
        <x:v>98</x:v>
      </x:c>
      <x:c r="H93" s="100" t="n">
        <x:v>98</x:v>
      </x:c>
      <x:c r="I93" s="100" t="n">
        <x:f>ROUND(AVERAGE(D93:H93),1)</x:f>
        <x:v>98.4</x:v>
      </x:c>
      <x:c r="J93" s="99" t="str">
        <x:v>Das Kartenlabel nutzt jetzt eine stabile sprachabhängige Übersetzungs-ID.</x:v>
      </x:c>
    </x:row>
    <x:row r="94" ht="21.600000381469727" hidden="0" customHeight="1">
      <x:c r="A94" s="97" t="str">
        <x:v>Französisch (fr-FR)</x:v>
      </x:c>
      <x:c r="B94" s="97" t="str">
        <x:v>P13</x:v>
      </x:c>
      <x:c r="C94" s="97" t="str">
        <x:v>Händlersuche</x:v>
      </x:c>
      <x:c r="D94" s="98" t="n">
        <x:v>99</x:v>
      </x:c>
      <x:c r="E94" s="98" t="n">
        <x:v>98</x:v>
      </x:c>
      <x:c r="F94" s="98" t="n">
        <x:v>99</x:v>
      </x:c>
      <x:c r="G94" s="98" t="n">
        <x:v>98</x:v>
      </x:c>
      <x:c r="H94" s="98" t="n">
        <x:v>98</x:v>
      </x:c>
      <x:c r="I94" s="98" t="n">
        <x:f>ROUND(AVERAGE(D94:H94),1)</x:f>
        <x:v>98.4</x:v>
      </x:c>
      <x:c r="J94" s="97" t="str">
        <x:v>Das Kartenlabel nutzt jetzt eine stabile sprachabhängige Übersetzungs-ID.</x:v>
      </x:c>
    </x:row>
    <x:row r="95" ht="21.600000381469727" hidden="0" customHeight="1">
      <x:c r="A95" s="99" t="str">
        <x:v>Dänisch (da-DK)</x:v>
      </x:c>
      <x:c r="B95" s="99" t="str">
        <x:v>P13</x:v>
      </x:c>
      <x:c r="C95" s="99" t="str">
        <x:v>Händlersuche</x:v>
      </x:c>
      <x:c r="D95" s="100" t="n">
        <x:v>98.7</x:v>
      </x:c>
      <x:c r="E95" s="100" t="n">
        <x:v>97.7</x:v>
      </x:c>
      <x:c r="F95" s="100" t="n">
        <x:v>98.7</x:v>
      </x:c>
      <x:c r="G95" s="100" t="n">
        <x:v>97.7</x:v>
      </x:c>
      <x:c r="H95" s="100" t="n">
        <x:v>97.7</x:v>
      </x:c>
      <x:c r="I95" s="100" t="n">
        <x:f>ROUND(AVERAGE(D95:H95),1)</x:f>
        <x:v>98.1</x:v>
      </x:c>
      <x:c r="J95" s="99" t="str">
        <x:v>Sehr gute bis praktisch muttersprachliche Übersetzungsqualität; keine relevanten Einzelprobleme im geprüften Paket.</x:v>
      </x:c>
    </x:row>
    <x:row r="96" ht="21.600000381469727" hidden="0" customHeight="1">
      <x:c r="A96" s="97" t="str">
        <x:v>Spanisch (es-ES)</x:v>
      </x:c>
      <x:c r="B96" s="97" t="str">
        <x:v>P13</x:v>
      </x:c>
      <x:c r="C96" s="97" t="str">
        <x:v>Händlersuche</x:v>
      </x:c>
      <x:c r="D96" s="98" t="n">
        <x:v>98.7</x:v>
      </x:c>
      <x:c r="E96" s="98" t="n">
        <x:v>97.7</x:v>
      </x:c>
      <x:c r="F96" s="98" t="n">
        <x:v>98.7</x:v>
      </x:c>
      <x:c r="G96" s="98" t="n">
        <x:v>97.7</x:v>
      </x:c>
      <x:c r="H96" s="98" t="n">
        <x:v>97.7</x:v>
      </x:c>
      <x:c r="I96" s="98" t="n">
        <x:f>ROUND(AVERAGE(D96:H96),1)</x:f>
        <x:v>98.1</x:v>
      </x:c>
      <x:c r="J96" s="97" t="str">
        <x:v>Sehr gute bis praktisch muttersprachliche Übersetzungsqualität; keine relevanten Einzelprobleme im geprüften Paket.</x:v>
      </x:c>
    </x:row>
    <x:row r="97" ht="21.600000381469727" hidden="0" customHeight="1">
      <x:c r="A97" s="99" t="str">
        <x:v>Niederländisch (nl-NL)</x:v>
      </x:c>
      <x:c r="B97" s="99" t="str">
        <x:v>P13</x:v>
      </x:c>
      <x:c r="C97" s="99" t="str">
        <x:v>Händlersuche</x:v>
      </x:c>
      <x:c r="D97" s="100" t="n">
        <x:v>98.7</x:v>
      </x:c>
      <x:c r="E97" s="100" t="n">
        <x:v>97.7</x:v>
      </x:c>
      <x:c r="F97" s="100" t="n">
        <x:v>98.7</x:v>
      </x:c>
      <x:c r="G97" s="100" t="n">
        <x:v>97.7</x:v>
      </x:c>
      <x:c r="H97" s="100" t="n">
        <x:v>97.7</x:v>
      </x:c>
      <x:c r="I97" s="100" t="n">
        <x:f>ROUND(AVERAGE(D97:H97),1)</x:f>
        <x:v>98.1</x:v>
      </x:c>
      <x:c r="J97" s="99" t="str">
        <x:v>Sehr gute bis praktisch muttersprachliche Übersetzungsqualität; keine relevanten Einzelprobleme im geprüften Paket.</x:v>
      </x:c>
    </x:row>
    <x:row r="98" ht="21.600000381469727" hidden="0" customHeight="1">
      <x:c r="A98" s="97" t="str">
        <x:v>Norwegisch Bokmål (nb-NO)</x:v>
      </x:c>
      <x:c r="B98" s="97" t="str">
        <x:v>P13</x:v>
      </x:c>
      <x:c r="C98" s="97" t="str">
        <x:v>Händlersuche</x:v>
      </x:c>
      <x:c r="D98" s="98" t="n">
        <x:v>98.7</x:v>
      </x:c>
      <x:c r="E98" s="98" t="n">
        <x:v>97.7</x:v>
      </x:c>
      <x:c r="F98" s="98" t="n">
        <x:v>98.7</x:v>
      </x:c>
      <x:c r="G98" s="98" t="n">
        <x:v>97.7</x:v>
      </x:c>
      <x:c r="H98" s="98" t="n">
        <x:v>97.7</x:v>
      </x:c>
      <x:c r="I98" s="98" t="n">
        <x:f>ROUND(AVERAGE(D98:H98),1)</x:f>
        <x:v>98.1</x:v>
      </x:c>
      <x:c r="J98" s="97" t="str">
        <x:v>Sehr gute bis praktisch muttersprachliche Übersetzungsqualität; keine relevanten Einzelprobleme im geprüften Paket.</x:v>
      </x:c>
    </x:row>
    <x:row r="99" ht="21.600000381469727" hidden="0" customHeight="1">
      <x:c r="A99" s="99" t="str">
        <x:v>Schwedisch (sv-SE)</x:v>
      </x:c>
      <x:c r="B99" s="99" t="str">
        <x:v>P13</x:v>
      </x:c>
      <x:c r="C99" s="99" t="str">
        <x:v>Händlersuche</x:v>
      </x:c>
      <x:c r="D99" s="100" t="n">
        <x:v>98.7</x:v>
      </x:c>
      <x:c r="E99" s="100" t="n">
        <x:v>97.7</x:v>
      </x:c>
      <x:c r="F99" s="100" t="n">
        <x:v>98.7</x:v>
      </x:c>
      <x:c r="G99" s="100" t="n">
        <x:v>97.7</x:v>
      </x:c>
      <x:c r="H99" s="100" t="n">
        <x:v>97.7</x:v>
      </x:c>
      <x:c r="I99" s="100" t="n">
        <x:f>ROUND(AVERAGE(D99:H99),1)</x:f>
        <x:v>98.1</x:v>
      </x:c>
      <x:c r="J99" s="99" t="str">
        <x:v>Sehr gute bis praktisch muttersprachliche Übersetzungsqualität; keine relevanten Einzelprobleme im geprüften Paket.</x:v>
      </x:c>
    </x:row>
    <x:row r="100" ht="21.600000381469727" hidden="0" customHeight="1">
      <x:c r="A100" s="97" t="str">
        <x:v>Englisch (en)</x:v>
      </x:c>
      <x:c r="B100" s="97" t="str">
        <x:v>P14</x:v>
      </x:c>
      <x:c r="C100" s="97" t="str">
        <x:v>404-Seite</x:v>
      </x:c>
      <x:c r="D100" s="98" t="n">
        <x:v>98</x:v>
      </x:c>
      <x:c r="E100" s="98" t="n">
        <x:v>97</x:v>
      </x:c>
      <x:c r="F100" s="98" t="n">
        <x:v>98</x:v>
      </x:c>
      <x:c r="G100" s="98" t="n">
        <x:v>97</x:v>
      </x:c>
      <x:c r="H100" s="98" t="n">
        <x:v>97</x:v>
      </x:c>
      <x:c r="I100" s="98" t="n">
        <x:f>ROUND(AVERAGE(D100:H100),1)</x:f>
        <x:v>97.4</x:v>
      </x:c>
      <x:c r="J100" s="97" t="str">
        <x:v>Sehr gute bis praktisch muttersprachliche Übersetzungsqualität; keine relevanten offenen Einzelprobleme im geprüften Paket.</x:v>
      </x:c>
    </x:row>
    <x:row r="101" ht="21.600000381469727" hidden="0" customHeight="1">
      <x:c r="A101" s="99" t="str">
        <x:v>Französisch (fr-FR)</x:v>
      </x:c>
      <x:c r="B101" s="99" t="str">
        <x:v>P14</x:v>
      </x:c>
      <x:c r="C101" s="99" t="str">
        <x:v>404-Seite</x:v>
      </x:c>
      <x:c r="D101" s="100" t="n">
        <x:v>98</x:v>
      </x:c>
      <x:c r="E101" s="100" t="n">
        <x:v>97</x:v>
      </x:c>
      <x:c r="F101" s="100" t="n">
        <x:v>98</x:v>
      </x:c>
      <x:c r="G101" s="100" t="n">
        <x:v>97</x:v>
      </x:c>
      <x:c r="H101" s="100" t="n">
        <x:v>97</x:v>
      </x:c>
      <x:c r="I101" s="100" t="n">
        <x:f>ROUND(AVERAGE(D101:H101),1)</x:f>
        <x:v>97.4</x:v>
      </x:c>
      <x:c r="J101" s="99" t="str">
        <x:v>Sehr gute bis praktisch muttersprachliche Übersetzungsqualität; keine relevanten offenen Einzelprobleme im geprüften Paket.</x:v>
      </x:c>
    </x:row>
    <x:row r="102" ht="21.600000381469727" hidden="0" customHeight="1">
      <x:c r="A102" s="97" t="str">
        <x:v>Dänisch (da-DK)</x:v>
      </x:c>
      <x:c r="B102" s="97" t="str">
        <x:v>P14</x:v>
      </x:c>
      <x:c r="C102" s="97" t="str">
        <x:v>404-Seite</x:v>
      </x:c>
      <x:c r="D102" s="98" t="n">
        <x:v>99</x:v>
      </x:c>
      <x:c r="E102" s="98" t="n">
        <x:v>98.7</x:v>
      </x:c>
      <x:c r="F102" s="98" t="n">
        <x:v>99</x:v>
      </x:c>
      <x:c r="G102" s="98" t="n">
        <x:v>98.7</x:v>
      </x:c>
      <x:c r="H102" s="98" t="n">
        <x:v>98.7</x:v>
      </x:c>
      <x:c r="I102" s="98" t="n">
        <x:f>ROUND(AVERAGE(D102:H102),1)</x:f>
        <x:v>98.8</x:v>
      </x:c>
      <x:c r="J102" s="97" t="str">
        <x:v>Sehr gute bis praktisch muttersprachliche Übersetzungsqualität; keine relevanten Einzelprobleme im geprüften Paket.</x:v>
      </x:c>
    </x:row>
    <x:row r="103" ht="21.600000381469727" hidden="0" customHeight="1">
      <x:c r="A103" s="99" t="str">
        <x:v>Spanisch (es-ES)</x:v>
      </x:c>
      <x:c r="B103" s="99" t="str">
        <x:v>P14</x:v>
      </x:c>
      <x:c r="C103" s="99" t="str">
        <x:v>404-Seite</x:v>
      </x:c>
      <x:c r="D103" s="100" t="n">
        <x:v>99</x:v>
      </x:c>
      <x:c r="E103" s="100" t="n">
        <x:v>98.7</x:v>
      </x:c>
      <x:c r="F103" s="100" t="n">
        <x:v>99</x:v>
      </x:c>
      <x:c r="G103" s="100" t="n">
        <x:v>98.7</x:v>
      </x:c>
      <x:c r="H103" s="100" t="n">
        <x:v>98.7</x:v>
      </x:c>
      <x:c r="I103" s="100" t="n">
        <x:f>ROUND(AVERAGE(D103:H103),1)</x:f>
        <x:v>98.8</x:v>
      </x:c>
      <x:c r="J103" s="99" t="str">
        <x:v>Sehr gute bis praktisch muttersprachliche Übersetzungsqualität; keine relevanten Einzelprobleme im geprüften Paket.</x:v>
      </x:c>
    </x:row>
    <x:row r="104" ht="21.600000381469727" hidden="0" customHeight="1">
      <x:c r="A104" s="97" t="str">
        <x:v>Niederländisch (nl-NL)</x:v>
      </x:c>
      <x:c r="B104" s="97" t="str">
        <x:v>P14</x:v>
      </x:c>
      <x:c r="C104" s="97" t="str">
        <x:v>404-Seite</x:v>
      </x:c>
      <x:c r="D104" s="98" t="n">
        <x:v>99</x:v>
      </x:c>
      <x:c r="E104" s="98" t="n">
        <x:v>98.7</x:v>
      </x:c>
      <x:c r="F104" s="98" t="n">
        <x:v>99</x:v>
      </x:c>
      <x:c r="G104" s="98" t="n">
        <x:v>98.7</x:v>
      </x:c>
      <x:c r="H104" s="98" t="n">
        <x:v>98.7</x:v>
      </x:c>
      <x:c r="I104" s="98" t="n">
        <x:f>ROUND(AVERAGE(D104:H104),1)</x:f>
        <x:v>98.8</x:v>
      </x:c>
      <x:c r="J104" s="97" t="str">
        <x:v>Sehr gute bis praktisch muttersprachliche Übersetzungsqualität; keine relevanten Einzelprobleme im geprüften Paket.</x:v>
      </x:c>
    </x:row>
    <x:row r="105" ht="21.600000381469727" hidden="0" customHeight="1">
      <x:c r="A105" s="99" t="str">
        <x:v>Norwegisch Bokmål (nb-NO)</x:v>
      </x:c>
      <x:c r="B105" s="99" t="str">
        <x:v>P14</x:v>
      </x:c>
      <x:c r="C105" s="99" t="str">
        <x:v>404-Seite</x:v>
      </x:c>
      <x:c r="D105" s="100" t="n">
        <x:v>99</x:v>
      </x:c>
      <x:c r="E105" s="100" t="n">
        <x:v>98.7</x:v>
      </x:c>
      <x:c r="F105" s="100" t="n">
        <x:v>99</x:v>
      </x:c>
      <x:c r="G105" s="100" t="n">
        <x:v>98.7</x:v>
      </x:c>
      <x:c r="H105" s="100" t="n">
        <x:v>98.7</x:v>
      </x:c>
      <x:c r="I105" s="100" t="n">
        <x:f>ROUND(AVERAGE(D105:H105),1)</x:f>
        <x:v>98.8</x:v>
      </x:c>
      <x:c r="J105" s="99" t="str">
        <x:v>Sehr gute bis praktisch muttersprachliche Übersetzungsqualität; keine relevanten Einzelprobleme im geprüften Paket.</x:v>
      </x:c>
    </x:row>
    <x:row r="106" ht="21.600000381469727" hidden="0" customHeight="1">
      <x:c r="A106" s="97" t="str">
        <x:v>Schwedisch (sv-SE)</x:v>
      </x:c>
      <x:c r="B106" s="97" t="str">
        <x:v>P14</x:v>
      </x:c>
      <x:c r="C106" s="97" t="str">
        <x:v>404-Seite</x:v>
      </x:c>
      <x:c r="D106" s="98" t="n">
        <x:v>99</x:v>
      </x:c>
      <x:c r="E106" s="98" t="n">
        <x:v>98.7</x:v>
      </x:c>
      <x:c r="F106" s="98" t="n">
        <x:v>99</x:v>
      </x:c>
      <x:c r="G106" s="98" t="n">
        <x:v>98.7</x:v>
      </x:c>
      <x:c r="H106" s="98" t="n">
        <x:v>98.7</x:v>
      </x:c>
      <x:c r="I106" s="98" t="n">
        <x:f>ROUND(AVERAGE(D106:H106),1)</x:f>
        <x:v>98.8</x:v>
      </x:c>
      <x:c r="J106" s="97" t="str">
        <x:v>Sehr gute bis praktisch muttersprachliche Übersetzungsqualität; keine relevanten Einzelprobleme im geprüften Paket.</x:v>
      </x:c>
    </x:row>
    <x:row r="107" ht="21.600000381469727" hidden="0" customHeight="1">
      <x:c r="A107" s="99" t="str">
        <x:v>Englisch (en)</x:v>
      </x:c>
      <x:c r="B107" s="99" t="str">
        <x:v>P15</x:v>
      </x:c>
      <x:c r="C107" s="99" t="str">
        <x:v>Cookie-Consent</x:v>
      </x:c>
      <x:c r="D107" s="100" t="n">
        <x:v>98</x:v>
      </x:c>
      <x:c r="E107" s="100" t="n">
        <x:v>97</x:v>
      </x:c>
      <x:c r="F107" s="100" t="n">
        <x:v>98</x:v>
      </x:c>
      <x:c r="G107" s="100" t="n">
        <x:v>97</x:v>
      </x:c>
      <x:c r="H107" s="100" t="n">
        <x:v>97</x:v>
      </x:c>
      <x:c r="I107" s="100" t="n">
        <x:f>ROUND(AVERAGE(D107:H107),1)</x:f>
        <x:v>97.4</x:v>
      </x:c>
      <x:c r="J107" s="99" t="str">
        <x:v>Sehr gute bis praktisch muttersprachliche Übersetzungsqualität; keine relevanten offenen Einzelprobleme im geprüften Paket.</x:v>
      </x:c>
    </x:row>
    <x:row r="108" ht="21.600000381469727" hidden="0" customHeight="1">
      <x:c r="A108" s="97" t="str">
        <x:v>Französisch (fr-FR)</x:v>
      </x:c>
      <x:c r="B108" s="97" t="str">
        <x:v>P15</x:v>
      </x:c>
      <x:c r="C108" s="97" t="str">
        <x:v>Cookie-Consent</x:v>
      </x:c>
      <x:c r="D108" s="98" t="n">
        <x:v>98</x:v>
      </x:c>
      <x:c r="E108" s="98" t="n">
        <x:v>97</x:v>
      </x:c>
      <x:c r="F108" s="98" t="n">
        <x:v>98</x:v>
      </x:c>
      <x:c r="G108" s="98" t="n">
        <x:v>97</x:v>
      </x:c>
      <x:c r="H108" s="98" t="n">
        <x:v>97</x:v>
      </x:c>
      <x:c r="I108" s="98" t="n">
        <x:f>ROUND(AVERAGE(D108:H108),1)</x:f>
        <x:v>97.4</x:v>
      </x:c>
      <x:c r="J108" s="97" t="str">
        <x:v>Sehr gute bis praktisch muttersprachliche Übersetzungsqualität; keine relevanten offenen Einzelprobleme im geprüften Paket.</x:v>
      </x:c>
    </x:row>
    <x:row r="109" ht="21.600000381469727" hidden="0" customHeight="1">
      <x:c r="A109" s="99" t="str">
        <x:v>Dänisch (da-DK)</x:v>
      </x:c>
      <x:c r="B109" s="99" t="str">
        <x:v>P15</x:v>
      </x:c>
      <x:c r="C109" s="99" t="str">
        <x:v>Cookie-Consent</x:v>
      </x:c>
      <x:c r="D109" s="100" t="n">
        <x:v>98.7</x:v>
      </x:c>
      <x:c r="E109" s="100" t="n">
        <x:v>97.7</x:v>
      </x:c>
      <x:c r="F109" s="100" t="n">
        <x:v>98.7</x:v>
      </x:c>
      <x:c r="G109" s="100" t="n">
        <x:v>97.7</x:v>
      </x:c>
      <x:c r="H109" s="100" t="n">
        <x:v>97.7</x:v>
      </x:c>
      <x:c r="I109" s="100" t="n">
        <x:f>ROUND(AVERAGE(D109:H109),1)</x:f>
        <x:v>98.1</x:v>
      </x:c>
      <x:c r="J109" s="99" t="str">
        <x:v>Sehr gute bis praktisch muttersprachliche Übersetzungsqualität; keine relevanten Einzelprobleme im geprüften Paket.</x:v>
      </x:c>
    </x:row>
    <x:row r="110" ht="21.600000381469727" hidden="0" customHeight="1">
      <x:c r="A110" s="97" t="str">
        <x:v>Spanisch (es-ES)</x:v>
      </x:c>
      <x:c r="B110" s="97" t="str">
        <x:v>P15</x:v>
      </x:c>
      <x:c r="C110" s="97" t="str">
        <x:v>Cookie-Consent</x:v>
      </x:c>
      <x:c r="D110" s="98" t="n">
        <x:v>98.7</x:v>
      </x:c>
      <x:c r="E110" s="98" t="n">
        <x:v>97.7</x:v>
      </x:c>
      <x:c r="F110" s="98" t="n">
        <x:v>98.7</x:v>
      </x:c>
      <x:c r="G110" s="98" t="n">
        <x:v>97.7</x:v>
      </x:c>
      <x:c r="H110" s="98" t="n">
        <x:v>97.7</x:v>
      </x:c>
      <x:c r="I110" s="98" t="n">
        <x:f>ROUND(AVERAGE(D110:H110),1)</x:f>
        <x:v>98.1</x:v>
      </x:c>
      <x:c r="J110" s="97" t="str">
        <x:v>Sehr gute bis praktisch muttersprachliche Übersetzungsqualität; keine relevanten Einzelprobleme im geprüften Paket.</x:v>
      </x:c>
    </x:row>
    <x:row r="111" ht="21.600000381469727" hidden="0" customHeight="1">
      <x:c r="A111" s="99" t="str">
        <x:v>Niederländisch (nl-NL)</x:v>
      </x:c>
      <x:c r="B111" s="99" t="str">
        <x:v>P15</x:v>
      </x:c>
      <x:c r="C111" s="99" t="str">
        <x:v>Cookie-Consent</x:v>
      </x:c>
      <x:c r="D111" s="100" t="n">
        <x:v>98.7</x:v>
      </x:c>
      <x:c r="E111" s="100" t="n">
        <x:v>97.7</x:v>
      </x:c>
      <x:c r="F111" s="100" t="n">
        <x:v>98.7</x:v>
      </x:c>
      <x:c r="G111" s="100" t="n">
        <x:v>97.7</x:v>
      </x:c>
      <x:c r="H111" s="100" t="n">
        <x:v>97.7</x:v>
      </x:c>
      <x:c r="I111" s="100" t="n">
        <x:f>ROUND(AVERAGE(D111:H111),1)</x:f>
        <x:v>98.1</x:v>
      </x:c>
      <x:c r="J111" s="99" t="str">
        <x:v>Sehr gute bis praktisch muttersprachliche Übersetzungsqualität; keine relevanten Einzelprobleme im geprüften Paket.</x:v>
      </x:c>
    </x:row>
    <x:row r="112" ht="21.600000381469727" hidden="0" customHeight="1">
      <x:c r="A112" s="97" t="str">
        <x:v>Norwegisch Bokmål (nb-NO)</x:v>
      </x:c>
      <x:c r="B112" s="97" t="str">
        <x:v>P15</x:v>
      </x:c>
      <x:c r="C112" s="97" t="str">
        <x:v>Cookie-Consent</x:v>
      </x:c>
      <x:c r="D112" s="98" t="n">
        <x:v>98.7</x:v>
      </x:c>
      <x:c r="E112" s="98" t="n">
        <x:v>97.7</x:v>
      </x:c>
      <x:c r="F112" s="98" t="n">
        <x:v>98.7</x:v>
      </x:c>
      <x:c r="G112" s="98" t="n">
        <x:v>97.7</x:v>
      </x:c>
      <x:c r="H112" s="98" t="n">
        <x:v>97.7</x:v>
      </x:c>
      <x:c r="I112" s="98" t="n">
        <x:f>ROUND(AVERAGE(D112:H112),1)</x:f>
        <x:v>98.1</x:v>
      </x:c>
      <x:c r="J112" s="97" t="str">
        <x:v>Sehr gute bis praktisch muttersprachliche Übersetzungsqualität; keine relevanten Einzelprobleme im geprüften Paket.</x:v>
      </x:c>
    </x:row>
    <x:row r="113" ht="21.600000381469727" hidden="0" customHeight="1">
      <x:c r="A113" s="99" t="str">
        <x:v>Schwedisch (sv-SE)</x:v>
      </x:c>
      <x:c r="B113" s="99" t="str">
        <x:v>P15</x:v>
      </x:c>
      <x:c r="C113" s="99" t="str">
        <x:v>Cookie-Consent</x:v>
      </x:c>
      <x:c r="D113" s="100" t="n">
        <x:v>98.7</x:v>
      </x:c>
      <x:c r="E113" s="100" t="n">
        <x:v>97.7</x:v>
      </x:c>
      <x:c r="F113" s="100" t="n">
        <x:v>98.7</x:v>
      </x:c>
      <x:c r="G113" s="100" t="n">
        <x:v>97.7</x:v>
      </x:c>
      <x:c r="H113" s="100" t="n">
        <x:v>97.7</x:v>
      </x:c>
      <x:c r="I113" s="100" t="n">
        <x:f>ROUND(AVERAGE(D113:H113),1)</x:f>
        <x:v>98.1</x:v>
      </x:c>
      <x:c r="J113" s="99" t="str">
        <x:v>Sehr gute bis praktisch muttersprachliche Übersetzungsqualität; keine relevanten Einzelprobleme im geprüften Paket.</x:v>
      </x:c>
    </x:row>
    <x:row r="114" ht="21.600000381469727" hidden="0" customHeight="1">
      <x:c r="A114" s="97" t="str">
        <x:v>Englisch (en)</x:v>
      </x:c>
      <x:c r="B114" s="97" t="str">
        <x:v>P16</x:v>
      </x:c>
      <x:c r="C114" s="97" t="str">
        <x:v>Konfigurator – Auswahl &amp; Zusammenfassung</x:v>
      </x:c>
      <x:c r="D114" s="98" t="n">
        <x:v>95</x:v>
      </x:c>
      <x:c r="E114" s="98" t="n">
        <x:v>95</x:v>
      </x:c>
      <x:c r="F114" s="98" t="n">
        <x:v>97</x:v>
      </x:c>
      <x:c r="G114" s="98" t="n">
        <x:v>96</x:v>
      </x:c>
      <x:c r="H114" s="98" t="n">
        <x:v>94</x:v>
      </x:c>
      <x:c r="I114" s="98" t="n">
        <x:f>ROUND(AVERAGE(D114:H114),1)</x:f>
        <x:v>95.4</x:v>
      </x:c>
      <x:c r="J114" s="97" t="str">
        <x:v>Konfigurator-Metadaten und Sprachrouten sind aktiv lokalisiert; fachliche Freigabe bleibt separat.</x:v>
      </x:c>
    </x:row>
    <x:row r="115" ht="21.600000381469727" hidden="0" customHeight="1">
      <x:c r="A115" s="99" t="str">
        <x:v>Französisch (fr-FR)</x:v>
      </x:c>
      <x:c r="B115" s="99" t="str">
        <x:v>P16</x:v>
      </x:c>
      <x:c r="C115" s="99" t="str">
        <x:v>Konfigurator – Auswahl &amp; Zusammenfassung</x:v>
      </x:c>
      <x:c r="D115" s="100" t="n">
        <x:v>95</x:v>
      </x:c>
      <x:c r="E115" s="100" t="n">
        <x:v>95</x:v>
      </x:c>
      <x:c r="F115" s="100" t="n">
        <x:v>97</x:v>
      </x:c>
      <x:c r="G115" s="100" t="n">
        <x:v>96</x:v>
      </x:c>
      <x:c r="H115" s="100" t="n">
        <x:v>94</x:v>
      </x:c>
      <x:c r="I115" s="100" t="n">
        <x:f>ROUND(AVERAGE(D115:H115),1)</x:f>
        <x:v>95.4</x:v>
      </x:c>
      <x:c r="J115" s="99" t="str">
        <x:v>Konfigurator-Metadaten und Sprachrouten sind aktiv lokalisiert; fachliche Freigabe bleibt separat.</x:v>
      </x:c>
    </x:row>
    <x:row r="116" ht="21.600000381469727" hidden="0" customHeight="1">
      <x:c r="A116" s="97" t="str">
        <x:v>Dänisch (da-DK)</x:v>
      </x:c>
      <x:c r="B116" s="97" t="str">
        <x:v>P16</x:v>
      </x:c>
      <x:c r="C116" s="97" t="str">
        <x:v>Konfigurator – Auswahl &amp; Zusammenfassung</x:v>
      </x:c>
      <x:c r="D116" s="98" t="n">
        <x:v>99</x:v>
      </x:c>
      <x:c r="E116" s="98" t="n">
        <x:v>97.2</x:v>
      </x:c>
      <x:c r="F116" s="98" t="n">
        <x:v>99</x:v>
      </x:c>
      <x:c r="G116" s="98" t="n">
        <x:v>97.2</x:v>
      </x:c>
      <x:c r="H116" s="98" t="n">
        <x:v>96.2</x:v>
      </x:c>
      <x:c r="I116" s="98" t="n">
        <x:f>ROUND(AVERAGE(D116:H116),1)</x:f>
        <x:v>97.7</x:v>
      </x:c>
      <x:c r="J116" s="97" t="str">
        <x:v>Sehr gute bis praktisch muttersprachliche Übersetzungsqualität; keine relevanten Einzelprobleme im geprüften Paket.</x:v>
      </x:c>
    </x:row>
    <x:row r="117" ht="15" hidden="0" customHeight="1">
      <x:c r="A117" s="99" t="str">
        <x:v>Spanisch (es-ES)</x:v>
      </x:c>
      <x:c r="B117" s="99" t="str">
        <x:v>P16</x:v>
      </x:c>
      <x:c r="C117" s="99" t="str">
        <x:v>Konfigurator – Auswahl &amp; Zusammenfassung</x:v>
      </x:c>
      <x:c r="D117" s="100" t="n">
        <x:v>98.2</x:v>
      </x:c>
      <x:c r="E117" s="100" t="n">
        <x:v>92.2</x:v>
      </x:c>
      <x:c r="F117" s="100" t="n">
        <x:v>99</x:v>
      </x:c>
      <x:c r="G117" s="100" t="n">
        <x:v>93.2</x:v>
      </x:c>
      <x:c r="H117" s="100" t="n">
        <x:v>96.2</x:v>
      </x:c>
      <x:c r="I117" s="100" t="n">
        <x:f>ROUND(AVERAGE(D117:H117),1)</x:f>
        <x:v>95.8</x:v>
      </x:c>
      <x:c r="J117" s="99" t="str">
        <x:v>Gute UI-Lokalisierung; „Otros bajo consulta“ wirkt unidiomatisch.</x:v>
      </x:c>
    </x:row>
    <x:row r="118" ht="21.600000381469727" hidden="0" customHeight="1">
      <x:c r="A118" s="97" t="str">
        <x:v>Niederländisch (nl-NL)</x:v>
      </x:c>
      <x:c r="B118" s="97" t="str">
        <x:v>P16</x:v>
      </x:c>
      <x:c r="C118" s="97" t="str">
        <x:v>Konfigurator – Auswahl &amp; Zusammenfassung</x:v>
      </x:c>
      <x:c r="D118" s="98" t="n">
        <x:v>99</x:v>
      </x:c>
      <x:c r="E118" s="98" t="n">
        <x:v>98.2</x:v>
      </x:c>
      <x:c r="F118" s="98" t="n">
        <x:v>99</x:v>
      </x:c>
      <x:c r="G118" s="98" t="n">
        <x:v>98.2</x:v>
      </x:c>
      <x:c r="H118" s="98" t="n">
        <x:v>97.2</x:v>
      </x:c>
      <x:c r="I118" s="98" t="n">
        <x:f>ROUND(AVERAGE(D118:H118),1)</x:f>
        <x:v>98.3</x:v>
      </x:c>
      <x:c r="J118" s="97" t="str">
        <x:v>Sehr gute bis praktisch muttersprachliche Übersetzungsqualität; keine relevanten Einzelprobleme im geprüften Paket.</x:v>
      </x:c>
    </x:row>
    <x:row r="119" ht="21.600000381469727" hidden="0" customHeight="1">
      <x:c r="A119" s="99" t="str">
        <x:v>Norwegisch Bokmål (nb-NO)</x:v>
      </x:c>
      <x:c r="B119" s="99" t="str">
        <x:v>P16</x:v>
      </x:c>
      <x:c r="C119" s="99" t="str">
        <x:v>Konfigurator – Auswahl &amp; Zusammenfassung</x:v>
      </x:c>
      <x:c r="D119" s="100" t="n">
        <x:v>99</x:v>
      </x:c>
      <x:c r="E119" s="100" t="n">
        <x:v>97.2</x:v>
      </x:c>
      <x:c r="F119" s="100" t="n">
        <x:v>99</x:v>
      </x:c>
      <x:c r="G119" s="100" t="n">
        <x:v>97.2</x:v>
      </x:c>
      <x:c r="H119" s="100" t="n">
        <x:v>96.2</x:v>
      </x:c>
      <x:c r="I119" s="100" t="n">
        <x:f>ROUND(AVERAGE(D119:H119),1)</x:f>
        <x:v>97.7</x:v>
      </x:c>
      <x:c r="J119" s="99" t="str">
        <x:v>Sehr gute bis praktisch muttersprachliche Übersetzungsqualität; keine relevanten Einzelprobleme im geprüften Paket.</x:v>
      </x:c>
    </x:row>
    <x:row r="120" ht="15" hidden="0" customHeight="1">
      <x:c r="A120" s="97" t="str">
        <x:v>Schwedisch (sv-SE)</x:v>
      </x:c>
      <x:c r="B120" s="97" t="str">
        <x:v>P16</x:v>
      </x:c>
      <x:c r="C120" s="97" t="str">
        <x:v>Konfigurator – Auswahl &amp; Zusammenfassung</x:v>
      </x:c>
      <x:c r="D120" s="98" t="n">
        <x:v>98.2</x:v>
      </x:c>
      <x:c r="E120" s="98" t="n">
        <x:v>92.2</x:v>
      </x:c>
      <x:c r="F120" s="98" t="n">
        <x:v>99</x:v>
      </x:c>
      <x:c r="G120" s="98" t="n">
        <x:v>90.2</x:v>
      </x:c>
      <x:c r="H120" s="98" t="n">
        <x:v>96.2</x:v>
      </x:c>
      <x:c r="I120" s="98" t="n">
        <x:f>ROUND(AVERAGE(D120:H120),1)</x:f>
        <x:v>95.2</x:v>
      </x:c>
      <x:c r="J120" s="97" t="str">
        <x:v>Gute UI-Lokalisierung; „Paketprisavdrag“ sollte zu „Paketrabatt“ werden.</x:v>
      </x:c>
    </x:row>
    <x:row r="121" ht="21.600000381469727" hidden="0" customHeight="1">
      <x:c r="A121" s="99" t="str">
        <x:v>Englisch (en)</x:v>
      </x:c>
      <x:c r="B121" s="99" t="str">
        <x:v>P17</x:v>
      </x:c>
      <x:c r="C121" s="99" t="str">
        <x:v>Lieferländer</x:v>
      </x:c>
      <x:c r="D121" s="100" t="n">
        <x:v>98</x:v>
      </x:c>
      <x:c r="E121" s="100" t="n">
        <x:v>97</x:v>
      </x:c>
      <x:c r="F121" s="100" t="n">
        <x:v>98</x:v>
      </x:c>
      <x:c r="G121" s="100" t="n">
        <x:v>97</x:v>
      </x:c>
      <x:c r="H121" s="100" t="n">
        <x:v>97</x:v>
      </x:c>
      <x:c r="I121" s="100" t="n">
        <x:f>ROUND(AVERAGE(D121:H121),1)</x:f>
        <x:v>97.4</x:v>
      </x:c>
      <x:c r="J121" s="99" t="str">
        <x:v>Sehr gute bis praktisch muttersprachliche Übersetzungsqualität; keine relevanten offenen Einzelprobleme im geprüften Paket.</x:v>
      </x:c>
    </x:row>
    <x:row r="122" ht="21.600000381469727" hidden="0" customHeight="1">
      <x:c r="A122" s="97" t="str">
        <x:v>Französisch (fr-FR)</x:v>
      </x:c>
      <x:c r="B122" s="97" t="str">
        <x:v>P17</x:v>
      </x:c>
      <x:c r="C122" s="97" t="str">
        <x:v>Lieferländer</x:v>
      </x:c>
      <x:c r="D122" s="98" t="n">
        <x:v>98</x:v>
      </x:c>
      <x:c r="E122" s="98" t="n">
        <x:v>97</x:v>
      </x:c>
      <x:c r="F122" s="98" t="n">
        <x:v>98</x:v>
      </x:c>
      <x:c r="G122" s="98" t="n">
        <x:v>97</x:v>
      </x:c>
      <x:c r="H122" s="98" t="n">
        <x:v>97</x:v>
      </x:c>
      <x:c r="I122" s="98" t="n">
        <x:f>ROUND(AVERAGE(D122:H122),1)</x:f>
        <x:v>97.4</x:v>
      </x:c>
      <x:c r="J122" s="97" t="str">
        <x:v>Sehr gute bis praktisch muttersprachliche Übersetzungsqualität; keine relevanten offenen Einzelprobleme im geprüften Paket.</x:v>
      </x:c>
    </x:row>
    <x:row r="123" ht="21.600000381469727" hidden="0" customHeight="1">
      <x:c r="A123" s="99" t="str">
        <x:v>Dänisch (da-DK)</x:v>
      </x:c>
      <x:c r="B123" s="99" t="str">
        <x:v>P17</x:v>
      </x:c>
      <x:c r="C123" s="99" t="str">
        <x:v>Lieferländer</x:v>
      </x:c>
      <x:c r="D123" s="100" t="n">
        <x:v>99</x:v>
      </x:c>
      <x:c r="E123" s="100" t="n">
        <x:v>98.7</x:v>
      </x:c>
      <x:c r="F123" s="100" t="n">
        <x:v>99</x:v>
      </x:c>
      <x:c r="G123" s="100" t="n">
        <x:v>98.7</x:v>
      </x:c>
      <x:c r="H123" s="100" t="n">
        <x:v>98.7</x:v>
      </x:c>
      <x:c r="I123" s="100" t="n">
        <x:f>ROUND(AVERAGE(D123:H123),1)</x:f>
        <x:v>98.8</x:v>
      </x:c>
      <x:c r="J123" s="99" t="str">
        <x:v>Sehr gute bis praktisch muttersprachliche Übersetzungsqualität; keine relevanten Einzelprobleme im geprüften Paket.</x:v>
      </x:c>
    </x:row>
    <x:row r="124" ht="21.600000381469727" hidden="0" customHeight="1">
      <x:c r="A124" s="97" t="str">
        <x:v>Spanisch (es-ES)</x:v>
      </x:c>
      <x:c r="B124" s="97" t="str">
        <x:v>P17</x:v>
      </x:c>
      <x:c r="C124" s="97" t="str">
        <x:v>Lieferländer</x:v>
      </x:c>
      <x:c r="D124" s="98" t="n">
        <x:v>99</x:v>
      </x:c>
      <x:c r="E124" s="98" t="n">
        <x:v>98.7</x:v>
      </x:c>
      <x:c r="F124" s="98" t="n">
        <x:v>99</x:v>
      </x:c>
      <x:c r="G124" s="98" t="n">
        <x:v>98.7</x:v>
      </x:c>
      <x:c r="H124" s="98" t="n">
        <x:v>98.7</x:v>
      </x:c>
      <x:c r="I124" s="98" t="n">
        <x:f>ROUND(AVERAGE(D124:H124),1)</x:f>
        <x:v>98.8</x:v>
      </x:c>
      <x:c r="J124" s="97" t="str">
        <x:v>Sehr gute bis praktisch muttersprachliche Übersetzungsqualität; keine relevanten Einzelprobleme im geprüften Paket.</x:v>
      </x:c>
    </x:row>
    <x:row r="125" ht="21.600000381469727" hidden="0" customHeight="1">
      <x:c r="A125" s="99" t="str">
        <x:v>Niederländisch (nl-NL)</x:v>
      </x:c>
      <x:c r="B125" s="99" t="str">
        <x:v>P17</x:v>
      </x:c>
      <x:c r="C125" s="99" t="str">
        <x:v>Lieferländer</x:v>
      </x:c>
      <x:c r="D125" s="100" t="n">
        <x:v>99</x:v>
      </x:c>
      <x:c r="E125" s="100" t="n">
        <x:v>98.7</x:v>
      </x:c>
      <x:c r="F125" s="100" t="n">
        <x:v>99</x:v>
      </x:c>
      <x:c r="G125" s="100" t="n">
        <x:v>98.7</x:v>
      </x:c>
      <x:c r="H125" s="100" t="n">
        <x:v>98.7</x:v>
      </x:c>
      <x:c r="I125" s="100" t="n">
        <x:f>ROUND(AVERAGE(D125:H125),1)</x:f>
        <x:v>98.8</x:v>
      </x:c>
      <x:c r="J125" s="99" t="str">
        <x:v>Sehr gute bis praktisch muttersprachliche Übersetzungsqualität; keine relevanten Einzelprobleme im geprüften Paket.</x:v>
      </x:c>
    </x:row>
    <x:row r="126" ht="21.600000381469727" hidden="0" customHeight="1">
      <x:c r="A126" s="97" t="str">
        <x:v>Norwegisch Bokmål (nb-NO)</x:v>
      </x:c>
      <x:c r="B126" s="97" t="str">
        <x:v>P17</x:v>
      </x:c>
      <x:c r="C126" s="97" t="str">
        <x:v>Lieferländer</x:v>
      </x:c>
      <x:c r="D126" s="98" t="n">
        <x:v>99</x:v>
      </x:c>
      <x:c r="E126" s="98" t="n">
        <x:v>98.7</x:v>
      </x:c>
      <x:c r="F126" s="98" t="n">
        <x:v>99</x:v>
      </x:c>
      <x:c r="G126" s="98" t="n">
        <x:v>98.7</x:v>
      </x:c>
      <x:c r="H126" s="98" t="n">
        <x:v>98.7</x:v>
      </x:c>
      <x:c r="I126" s="98" t="n">
        <x:f>ROUND(AVERAGE(D126:H126),1)</x:f>
        <x:v>98.8</x:v>
      </x:c>
      <x:c r="J126" s="97" t="str">
        <x:v>Sehr gute bis praktisch muttersprachliche Übersetzungsqualität; keine relevanten Einzelprobleme im geprüften Paket.</x:v>
      </x:c>
    </x:row>
    <x:row r="127" ht="21.600000381469727" hidden="0" customHeight="1">
      <x:c r="A127" s="99" t="str">
        <x:v>Schwedisch (sv-SE)</x:v>
      </x:c>
      <x:c r="B127" s="99" t="str">
        <x:v>P17</x:v>
      </x:c>
      <x:c r="C127" s="99" t="str">
        <x:v>Lieferländer</x:v>
      </x:c>
      <x:c r="D127" s="100" t="n">
        <x:v>99</x:v>
      </x:c>
      <x:c r="E127" s="100" t="n">
        <x:v>98.7</x:v>
      </x:c>
      <x:c r="F127" s="100" t="n">
        <x:v>99</x:v>
      </x:c>
      <x:c r="G127" s="100" t="n">
        <x:v>98.7</x:v>
      </x:c>
      <x:c r="H127" s="100" t="n">
        <x:v>98.7</x:v>
      </x:c>
      <x:c r="I127" s="100" t="n">
        <x:f>ROUND(AVERAGE(D127:H127),1)</x:f>
        <x:v>98.8</x:v>
      </x:c>
      <x:c r="J127" s="99" t="str">
        <x:v>Sehr gute bis praktisch muttersprachliche Übersetzungsqualität; keine relevanten Einzelprobleme im geprüften Paket.</x:v>
      </x:c>
    </x:row>
    <x:row r="128" ht="21.600000381469727" hidden="0" customHeight="1">
      <x:c r="A128" s="97" t="str">
        <x:v>Englisch (en)</x:v>
      </x:c>
      <x:c r="B128" s="97" t="str">
        <x:v>P18</x:v>
      </x:c>
      <x:c r="C128" s="97" t="str">
        <x:v>Konfigurator – Kontakt/Händler/Absenden</x:v>
      </x:c>
      <x:c r="D128" s="98" t="n">
        <x:v>96</x:v>
      </x:c>
      <x:c r="E128" s="98" t="n">
        <x:v>96</x:v>
      </x:c>
      <x:c r="F128" s="98" t="n">
        <x:v>97</x:v>
      </x:c>
      <x:c r="G128" s="98" t="n">
        <x:v>96</x:v>
      </x:c>
      <x:c r="H128" s="98" t="n">
        <x:v>95</x:v>
      </x:c>
      <x:c r="I128" s="98" t="n">
        <x:f>ROUND(AVERAGE(D128:H128),1)</x:f>
        <x:v>96</x:v>
      </x:c>
      <x:c r="J128" s="97" t="str">
        <x:v>Review-, Kontakt-, Validierungs- und Dealer-Texte sind im aktiven EN/FR-Pfad vollständig vorhanden.</x:v>
      </x:c>
    </x:row>
    <x:row r="129" ht="21.600000381469727" hidden="0" customHeight="1">
      <x:c r="A129" s="99" t="str">
        <x:v>Französisch (fr-FR)</x:v>
      </x:c>
      <x:c r="B129" s="99" t="str">
        <x:v>P18</x:v>
      </x:c>
      <x:c r="C129" s="99" t="str">
        <x:v>Konfigurator – Kontakt/Händler/Absenden</x:v>
      </x:c>
      <x:c r="D129" s="100" t="n">
        <x:v>96</x:v>
      </x:c>
      <x:c r="E129" s="100" t="n">
        <x:v>96</x:v>
      </x:c>
      <x:c r="F129" s="100" t="n">
        <x:v>97</x:v>
      </x:c>
      <x:c r="G129" s="100" t="n">
        <x:v>96</x:v>
      </x:c>
      <x:c r="H129" s="100" t="n">
        <x:v>95</x:v>
      </x:c>
      <x:c r="I129" s="100" t="n">
        <x:f>ROUND(AVERAGE(D129:H129),1)</x:f>
        <x:v>96</x:v>
      </x:c>
      <x:c r="J129" s="99" t="str">
        <x:v>Review-, Kontakt-, Validierungs- und Dealer-Texte sind im aktiven EN/FR-Pfad vollständig vorhanden.</x:v>
      </x:c>
    </x:row>
    <x:row r="130" ht="21.600000381469727" hidden="0" customHeight="1">
      <x:c r="A130" s="97" t="str">
        <x:v>Dänisch (da-DK)</x:v>
      </x:c>
      <x:c r="B130" s="97" t="str">
        <x:v>P18</x:v>
      </x:c>
      <x:c r="C130" s="97" t="str">
        <x:v>Konfigurator – Kontakt/Händler/Absenden</x:v>
      </x:c>
      <x:c r="D130" s="98" t="n">
        <x:v>98.7</x:v>
      </x:c>
      <x:c r="E130" s="98" t="n">
        <x:v>97.7</x:v>
      </x:c>
      <x:c r="F130" s="98" t="n">
        <x:v>98.7</x:v>
      </x:c>
      <x:c r="G130" s="98" t="n">
        <x:v>97.7</x:v>
      </x:c>
      <x:c r="H130" s="98" t="n">
        <x:v>97.7</x:v>
      </x:c>
      <x:c r="I130" s="98" t="n">
        <x:f>ROUND(AVERAGE(D130:H130),1)</x:f>
        <x:v>98.1</x:v>
      </x:c>
      <x:c r="J130" s="97" t="str">
        <x:v>Sehr gute bis praktisch muttersprachliche Übersetzungsqualität; keine relevanten Einzelprobleme im geprüften Paket.</x:v>
      </x:c>
    </x:row>
    <x:row r="131" ht="21.600000381469727" hidden="0" customHeight="1">
      <x:c r="A131" s="99" t="str">
        <x:v>Spanisch (es-ES)</x:v>
      </x:c>
      <x:c r="B131" s="99" t="str">
        <x:v>P18</x:v>
      </x:c>
      <x:c r="C131" s="99" t="str">
        <x:v>Konfigurator – Kontakt/Händler/Absenden</x:v>
      </x:c>
      <x:c r="D131" s="100" t="n">
        <x:v>98.7</x:v>
      </x:c>
      <x:c r="E131" s="100" t="n">
        <x:v>97.7</x:v>
      </x:c>
      <x:c r="F131" s="100" t="n">
        <x:v>98.7</x:v>
      </x:c>
      <x:c r="G131" s="100" t="n">
        <x:v>97.7</x:v>
      </x:c>
      <x:c r="H131" s="100" t="n">
        <x:v>97.7</x:v>
      </x:c>
      <x:c r="I131" s="100" t="n">
        <x:f>ROUND(AVERAGE(D131:H131),1)</x:f>
        <x:v>98.1</x:v>
      </x:c>
      <x:c r="J131" s="99" t="str">
        <x:v>Sehr gute bis praktisch muttersprachliche Übersetzungsqualität; keine relevanten Einzelprobleme im geprüften Paket.</x:v>
      </x:c>
    </x:row>
    <x:row r="132" ht="21.600000381469727" hidden="0" customHeight="1">
      <x:c r="A132" s="97" t="str">
        <x:v>Niederländisch (nl-NL)</x:v>
      </x:c>
      <x:c r="B132" s="97" t="str">
        <x:v>P18</x:v>
      </x:c>
      <x:c r="C132" s="97" t="str">
        <x:v>Konfigurator – Kontakt/Händler/Absenden</x:v>
      </x:c>
      <x:c r="D132" s="98" t="n">
        <x:v>98.7</x:v>
      </x:c>
      <x:c r="E132" s="98" t="n">
        <x:v>97.7</x:v>
      </x:c>
      <x:c r="F132" s="98" t="n">
        <x:v>98.7</x:v>
      </x:c>
      <x:c r="G132" s="98" t="n">
        <x:v>97.7</x:v>
      </x:c>
      <x:c r="H132" s="98" t="n">
        <x:v>97.7</x:v>
      </x:c>
      <x:c r="I132" s="98" t="n">
        <x:f>ROUND(AVERAGE(D132:H132),1)</x:f>
        <x:v>98.1</x:v>
      </x:c>
      <x:c r="J132" s="97" t="str">
        <x:v>Sehr gute bis praktisch muttersprachliche Übersetzungsqualität; keine relevanten Einzelprobleme im geprüften Paket.</x:v>
      </x:c>
    </x:row>
    <x:row r="133" ht="21.600000381469727" hidden="0" customHeight="1">
      <x:c r="A133" s="99" t="str">
        <x:v>Norwegisch Bokmål (nb-NO)</x:v>
      </x:c>
      <x:c r="B133" s="99" t="str">
        <x:v>P18</x:v>
      </x:c>
      <x:c r="C133" s="99" t="str">
        <x:v>Konfigurator – Kontakt/Händler/Absenden</x:v>
      </x:c>
      <x:c r="D133" s="100" t="n">
        <x:v>98.7</x:v>
      </x:c>
      <x:c r="E133" s="100" t="n">
        <x:v>97.7</x:v>
      </x:c>
      <x:c r="F133" s="100" t="n">
        <x:v>98.7</x:v>
      </x:c>
      <x:c r="G133" s="100" t="n">
        <x:v>97.7</x:v>
      </x:c>
      <x:c r="H133" s="100" t="n">
        <x:v>97.7</x:v>
      </x:c>
      <x:c r="I133" s="100" t="n">
        <x:f>ROUND(AVERAGE(D133:H133),1)</x:f>
        <x:v>98.1</x:v>
      </x:c>
      <x:c r="J133" s="99" t="str">
        <x:v>Sehr gute bis praktisch muttersprachliche Übersetzungsqualität; keine relevanten Einzelprobleme im geprüften Paket.</x:v>
      </x:c>
    </x:row>
    <x:row r="134" ht="21.600000381469727" hidden="0" customHeight="1">
      <x:c r="A134" s="97" t="str">
        <x:v>Schwedisch (sv-SE)</x:v>
      </x:c>
      <x:c r="B134" s="97" t="str">
        <x:v>P18</x:v>
      </x:c>
      <x:c r="C134" s="97" t="str">
        <x:v>Konfigurator – Kontakt/Händler/Absenden</x:v>
      </x:c>
      <x:c r="D134" s="98" t="n">
        <x:v>98.7</x:v>
      </x:c>
      <x:c r="E134" s="98" t="n">
        <x:v>97.7</x:v>
      </x:c>
      <x:c r="F134" s="98" t="n">
        <x:v>98.7</x:v>
      </x:c>
      <x:c r="G134" s="98" t="n">
        <x:v>97.7</x:v>
      </x:c>
      <x:c r="H134" s="98" t="n">
        <x:v>97.7</x:v>
      </x:c>
      <x:c r="I134" s="98" t="n">
        <x:f>ROUND(AVERAGE(D134:H134),1)</x:f>
        <x:v>98.1</x:v>
      </x:c>
      <x:c r="J134" s="97" t="str">
        <x:v>Sehr gute bis praktisch muttersprachliche Übersetzungsqualität; keine relevanten Einzelprobleme im geprüften Paket.</x:v>
      </x:c>
    </x:row>
    <x:row r="135" ht="21.600000381469727" hidden="0" customHeight="1">
      <x:c r="A135" s="99" t="str">
        <x:v>Englisch (en)</x:v>
      </x:c>
      <x:c r="B135" s="99" t="str">
        <x:v>P19</x:v>
      </x:c>
      <x:c r="C135" s="99" t="str">
        <x:v>Bestätigung</x:v>
      </x:c>
      <x:c r="D135" s="100" t="n">
        <x:v>98</x:v>
      </x:c>
      <x:c r="E135" s="100" t="n">
        <x:v>98</x:v>
      </x:c>
      <x:c r="F135" s="100" t="n">
        <x:v>99</x:v>
      </x:c>
      <x:c r="G135" s="100" t="n">
        <x:v>98</x:v>
      </x:c>
      <x:c r="H135" s="100" t="n">
        <x:v>98</x:v>
      </x:c>
      <x:c r="I135" s="100" t="n">
        <x:f>ROUND(AVERAGE(D135:H135),1)</x:f>
        <x:v>98.2</x:v>
      </x:c>
      <x:c r="J135" s="99" t="str">
        <x:v>Die komplette Bestätigungsseite nutzt zentrale Übersetzungs-Keys und kehrt sprachrichtig zurück.</x:v>
      </x:c>
    </x:row>
    <x:row r="136" ht="21.600000381469727" hidden="0" customHeight="1">
      <x:c r="A136" s="97" t="str">
        <x:v>Französisch (fr-FR)</x:v>
      </x:c>
      <x:c r="B136" s="97" t="str">
        <x:v>P19</x:v>
      </x:c>
      <x:c r="C136" s="97" t="str">
        <x:v>Bestätigung</x:v>
      </x:c>
      <x:c r="D136" s="98" t="n">
        <x:v>98</x:v>
      </x:c>
      <x:c r="E136" s="98" t="n">
        <x:v>98</x:v>
      </x:c>
      <x:c r="F136" s="98" t="n">
        <x:v>99</x:v>
      </x:c>
      <x:c r="G136" s="98" t="n">
        <x:v>98</x:v>
      </x:c>
      <x:c r="H136" s="98" t="n">
        <x:v>98</x:v>
      </x:c>
      <x:c r="I136" s="98" t="n">
        <x:f>ROUND(AVERAGE(D136:H136),1)</x:f>
        <x:v>98.2</x:v>
      </x:c>
      <x:c r="J136" s="97" t="str">
        <x:v>Die komplette Bestätigungsseite nutzt zentrale Übersetzungs-Keys und kehrt sprachrichtig zurück.</x:v>
      </x:c>
    </x:row>
    <x:row r="137" ht="21.600000381469727" hidden="0" customHeight="1">
      <x:c r="A137" s="99" t="str">
        <x:v>Dänisch (da-DK)</x:v>
      </x:c>
      <x:c r="B137" s="99" t="str">
        <x:v>P19</x:v>
      </x:c>
      <x:c r="C137" s="99" t="str">
        <x:v>Bestätigung</x:v>
      </x:c>
      <x:c r="D137" s="100" t="n">
        <x:v>99</x:v>
      </x:c>
      <x:c r="E137" s="100" t="n">
        <x:v>98.7</x:v>
      </x:c>
      <x:c r="F137" s="100" t="n">
        <x:v>99</x:v>
      </x:c>
      <x:c r="G137" s="100" t="n">
        <x:v>98.7</x:v>
      </x:c>
      <x:c r="H137" s="100" t="n">
        <x:v>98.7</x:v>
      </x:c>
      <x:c r="I137" s="100" t="n">
        <x:f>ROUND(AVERAGE(D137:H137),1)</x:f>
        <x:v>98.8</x:v>
      </x:c>
      <x:c r="J137" s="99" t="str">
        <x:v>Sehr gute bis praktisch muttersprachliche Übersetzungsqualität; keine relevanten Einzelprobleme im geprüften Paket.</x:v>
      </x:c>
    </x:row>
    <x:row r="138" ht="21.600000381469727" hidden="0" customHeight="1">
      <x:c r="A138" s="97" t="str">
        <x:v>Spanisch (es-ES)</x:v>
      </x:c>
      <x:c r="B138" s="97" t="str">
        <x:v>P19</x:v>
      </x:c>
      <x:c r="C138" s="97" t="str">
        <x:v>Bestätigung</x:v>
      </x:c>
      <x:c r="D138" s="98" t="n">
        <x:v>99</x:v>
      </x:c>
      <x:c r="E138" s="98" t="n">
        <x:v>98.7</x:v>
      </x:c>
      <x:c r="F138" s="98" t="n">
        <x:v>99</x:v>
      </x:c>
      <x:c r="G138" s="98" t="n">
        <x:v>98.7</x:v>
      </x:c>
      <x:c r="H138" s="98" t="n">
        <x:v>98.7</x:v>
      </x:c>
      <x:c r="I138" s="98" t="n">
        <x:f>ROUND(AVERAGE(D138:H138),1)</x:f>
        <x:v>98.8</x:v>
      </x:c>
      <x:c r="J138" s="97" t="str">
        <x:v>Sehr gute bis praktisch muttersprachliche Übersetzungsqualität; keine relevanten Einzelprobleme im geprüften Paket.</x:v>
      </x:c>
    </x:row>
    <x:row r="139" ht="21.600000381469727" hidden="0" customHeight="1">
      <x:c r="A139" s="99" t="str">
        <x:v>Niederländisch (nl-NL)</x:v>
      </x:c>
      <x:c r="B139" s="99" t="str">
        <x:v>P19</x:v>
      </x:c>
      <x:c r="C139" s="99" t="str">
        <x:v>Bestätigung</x:v>
      </x:c>
      <x:c r="D139" s="100" t="n">
        <x:v>99</x:v>
      </x:c>
      <x:c r="E139" s="100" t="n">
        <x:v>98.7</x:v>
      </x:c>
      <x:c r="F139" s="100" t="n">
        <x:v>99</x:v>
      </x:c>
      <x:c r="G139" s="100" t="n">
        <x:v>98.7</x:v>
      </x:c>
      <x:c r="H139" s="100" t="n">
        <x:v>98.7</x:v>
      </x:c>
      <x:c r="I139" s="100" t="n">
        <x:f>ROUND(AVERAGE(D139:H139),1)</x:f>
        <x:v>98.8</x:v>
      </x:c>
      <x:c r="J139" s="99" t="str">
        <x:v>Sehr gute bis praktisch muttersprachliche Übersetzungsqualität; keine relevanten Einzelprobleme im geprüften Paket.</x:v>
      </x:c>
    </x:row>
    <x:row r="140" ht="21.600000381469727" hidden="0" customHeight="1">
      <x:c r="A140" s="97" t="str">
        <x:v>Norwegisch Bokmål (nb-NO)</x:v>
      </x:c>
      <x:c r="B140" s="97" t="str">
        <x:v>P19</x:v>
      </x:c>
      <x:c r="C140" s="97" t="str">
        <x:v>Bestätigung</x:v>
      </x:c>
      <x:c r="D140" s="98" t="n">
        <x:v>99</x:v>
      </x:c>
      <x:c r="E140" s="98" t="n">
        <x:v>98.7</x:v>
      </x:c>
      <x:c r="F140" s="98" t="n">
        <x:v>99</x:v>
      </x:c>
      <x:c r="G140" s="98" t="n">
        <x:v>98.7</x:v>
      </x:c>
      <x:c r="H140" s="98" t="n">
        <x:v>98.7</x:v>
      </x:c>
      <x:c r="I140" s="98" t="n">
        <x:f>ROUND(AVERAGE(D140:H140),1)</x:f>
        <x:v>98.8</x:v>
      </x:c>
      <x:c r="J140" s="97" t="str">
        <x:v>Sehr gute bis praktisch muttersprachliche Übersetzungsqualität; keine relevanten Einzelprobleme im geprüften Paket.</x:v>
      </x:c>
    </x:row>
    <x:row r="141" ht="21.600000381469727" hidden="0" customHeight="1">
      <x:c r="A141" s="99" t="str">
        <x:v>Schwedisch (sv-SE)</x:v>
      </x:c>
      <x:c r="B141" s="99" t="str">
        <x:v>P19</x:v>
      </x:c>
      <x:c r="C141" s="99" t="str">
        <x:v>Bestätigung</x:v>
      </x:c>
      <x:c r="D141" s="100" t="n">
        <x:v>99</x:v>
      </x:c>
      <x:c r="E141" s="100" t="n">
        <x:v>98.7</x:v>
      </x:c>
      <x:c r="F141" s="100" t="n">
        <x:v>99</x:v>
      </x:c>
      <x:c r="G141" s="100" t="n">
        <x:v>98.7</x:v>
      </x:c>
      <x:c r="H141" s="100" t="n">
        <x:v>98.7</x:v>
      </x:c>
      <x:c r="I141" s="100" t="n">
        <x:f>ROUND(AVERAGE(D141:H141),1)</x:f>
        <x:v>98.8</x:v>
      </x:c>
      <x:c r="J141" s="99" t="str">
        <x:v>Sehr gute bis praktisch muttersprachliche Übersetzungsqualität; keine relevanten Einzelprobleme im geprüften Paket.</x:v>
      </x:c>
    </x:row>
    <x:row r="142" ht="21.600000381469727" hidden="0" customHeight="1">
      <x:c r="A142" s="97" t="str">
        <x:v>Englisch (en)</x:v>
      </x:c>
      <x:c r="B142" s="97" t="str">
        <x:v>P20</x:v>
      </x:c>
      <x:c r="C142" s="97" t="str">
        <x:v>Konfigurator – zusammengesetzte Werte</x:v>
      </x:c>
      <x:c r="D142" s="98" t="n">
        <x:v>90</x:v>
      </x:c>
      <x:c r="E142" s="98" t="n">
        <x:v>92</x:v>
      </x:c>
      <x:c r="F142" s="98" t="n">
        <x:v>94</x:v>
      </x:c>
      <x:c r="G142" s="98" t="n">
        <x:v>91</x:v>
      </x:c>
      <x:c r="H142" s="98" t="n">
        <x:v>89</x:v>
      </x:c>
      <x:c r="I142" s="98" t="n">
        <x:f>ROUND(AVERAGE(D142:H142),1)</x:f>
        <x:v>91.2</x:v>
      </x:c>
      <x:c r="J142" s="97" t="str">
        <x:v>Statische Oberfläche lokalisiert; verbleibende Unsicherheit betrifft einzelne dynamische Datenwerte.</x:v>
      </x:c>
    </x:row>
    <x:row r="143" ht="21.600000381469727" hidden="0" customHeight="1">
      <x:c r="A143" s="99" t="str">
        <x:v>Französisch (fr-FR)</x:v>
      </x:c>
      <x:c r="B143" s="99" t="str">
        <x:v>P20</x:v>
      </x:c>
      <x:c r="C143" s="99" t="str">
        <x:v>Konfigurator – zusammengesetzte Werte</x:v>
      </x:c>
      <x:c r="D143" s="100" t="n">
        <x:v>90</x:v>
      </x:c>
      <x:c r="E143" s="100" t="n">
        <x:v>92</x:v>
      </x:c>
      <x:c r="F143" s="100" t="n">
        <x:v>94</x:v>
      </x:c>
      <x:c r="G143" s="100" t="n">
        <x:v>91</x:v>
      </x:c>
      <x:c r="H143" s="100" t="n">
        <x:v>89</x:v>
      </x:c>
      <x:c r="I143" s="100" t="n">
        <x:f>ROUND(AVERAGE(D143:H143),1)</x:f>
        <x:v>91.2</x:v>
      </x:c>
      <x:c r="J143" s="99" t="str">
        <x:v>Statische Oberfläche lokalisiert; verbleibende Unsicherheit betrifft einzelne dynamische Datenwerte.</x:v>
      </x:c>
    </x:row>
    <x:row r="144" ht="21.600000381469727" hidden="0" customHeight="1">
      <x:c r="A144" s="97" t="str">
        <x:v>Dänisch (da-DK)</x:v>
      </x:c>
      <x:c r="B144" s="97" t="str">
        <x:v>P20</x:v>
      </x:c>
      <x:c r="C144" s="97" t="str">
        <x:v>Konfigurator – zusammengesetzte Werte</x:v>
      </x:c>
      <x:c r="D144" s="98" t="n">
        <x:v>98.7</x:v>
      </x:c>
      <x:c r="E144" s="98" t="n">
        <x:v>96.7</x:v>
      </x:c>
      <x:c r="F144" s="98" t="n">
        <x:v>98.7</x:v>
      </x:c>
      <x:c r="G144" s="98" t="n">
        <x:v>97.7</x:v>
      </x:c>
      <x:c r="H144" s="98" t="n">
        <x:v>96.7</x:v>
      </x:c>
      <x:c r="I144" s="98" t="n">
        <x:f>ROUND(AVERAGE(D144:H144),1)</x:f>
        <x:v>97.7</x:v>
      </x:c>
      <x:c r="J144" s="97" t="str">
        <x:v>Sehr gute bis praktisch muttersprachliche Übersetzungsqualität; keine relevanten Einzelprobleme im geprüften Paket.</x:v>
      </x:c>
    </x:row>
    <x:row r="145" ht="21.600000381469727" hidden="0" customHeight="1">
      <x:c r="A145" s="99" t="str">
        <x:v>Spanisch (es-ES)</x:v>
      </x:c>
      <x:c r="B145" s="99" t="str">
        <x:v>P20</x:v>
      </x:c>
      <x:c r="C145" s="99" t="str">
        <x:v>Konfigurator – zusammengesetzte Werte</x:v>
      </x:c>
      <x:c r="D145" s="100" t="n">
        <x:v>97.7</x:v>
      </x:c>
      <x:c r="E145" s="100" t="n">
        <x:v>92.7</x:v>
      </x:c>
      <x:c r="F145" s="100" t="n">
        <x:v>98.7</x:v>
      </x:c>
      <x:c r="G145" s="100" t="n">
        <x:v>93.7</x:v>
      </x:c>
      <x:c r="H145" s="100" t="n">
        <x:v>96.7</x:v>
      </x:c>
      <x:c r="I145" s="100" t="n">
        <x:f>ROUND(AVERAGE(D145:H145),1)</x:f>
        <x:v>95.9</x:v>
      </x:c>
      <x:c r="J145" s="99" t="str">
        <x:v>Sehr gute bis praktisch muttersprachliche Übersetzungsqualität; keine relevanten Einzelprobleme im geprüften Paket.</x:v>
      </x:c>
    </x:row>
    <x:row r="146" ht="21.600000381469727" hidden="0" customHeight="1">
      <x:c r="A146" s="97" t="str">
        <x:v>Niederländisch (nl-NL)</x:v>
      </x:c>
      <x:c r="B146" s="97" t="str">
        <x:v>P20</x:v>
      </x:c>
      <x:c r="C146" s="97" t="str">
        <x:v>Konfigurator – zusammengesetzte Werte</x:v>
      </x:c>
      <x:c r="D146" s="98" t="n">
        <x:v>98.7</x:v>
      </x:c>
      <x:c r="E146" s="98" t="n">
        <x:v>96.7</x:v>
      </x:c>
      <x:c r="F146" s="98" t="n">
        <x:v>98.7</x:v>
      </x:c>
      <x:c r="G146" s="98" t="n">
        <x:v>97.7</x:v>
      </x:c>
      <x:c r="H146" s="98" t="n">
        <x:v>96.7</x:v>
      </x:c>
      <x:c r="I146" s="98" t="n">
        <x:f>ROUND(AVERAGE(D146:H146),1)</x:f>
        <x:v>97.7</x:v>
      </x:c>
      <x:c r="J146" s="97" t="str">
        <x:v>Sehr gute bis praktisch muttersprachliche Übersetzungsqualität; keine relevanten Einzelprobleme im geprüften Paket.</x:v>
      </x:c>
    </x:row>
    <x:row r="147" ht="21.600000381469727" hidden="0" customHeight="1">
      <x:c r="A147" s="99" t="str">
        <x:v>Norwegisch Bokmål (nb-NO)</x:v>
      </x:c>
      <x:c r="B147" s="99" t="str">
        <x:v>P20</x:v>
      </x:c>
      <x:c r="C147" s="99" t="str">
        <x:v>Konfigurator – zusammengesetzte Werte</x:v>
      </x:c>
      <x:c r="D147" s="100" t="n">
        <x:v>98.7</x:v>
      </x:c>
      <x:c r="E147" s="100" t="n">
        <x:v>96.7</x:v>
      </x:c>
      <x:c r="F147" s="100" t="n">
        <x:v>98.7</x:v>
      </x:c>
      <x:c r="G147" s="100" t="n">
        <x:v>97.7</x:v>
      </x:c>
      <x:c r="H147" s="100" t="n">
        <x:v>96.7</x:v>
      </x:c>
      <x:c r="I147" s="100" t="n">
        <x:f>ROUND(AVERAGE(D147:H147),1)</x:f>
        <x:v>97.7</x:v>
      </x:c>
      <x:c r="J147" s="99" t="str">
        <x:v>Sehr gute bis praktisch muttersprachliche Übersetzungsqualität; keine relevanten Einzelprobleme im geprüften Paket.</x:v>
      </x:c>
    </x:row>
    <x:row r="148" ht="21.600000381469727" hidden="0" customHeight="1">
      <x:c r="A148" s="97" t="str">
        <x:v>Schwedisch (sv-SE)</x:v>
      </x:c>
      <x:c r="B148" s="97" t="str">
        <x:v>P20</x:v>
      </x:c>
      <x:c r="C148" s="97" t="str">
        <x:v>Konfigurator – zusammengesetzte Werte</x:v>
      </x:c>
      <x:c r="D148" s="98" t="n">
        <x:v>98.7</x:v>
      </x:c>
      <x:c r="E148" s="98" t="n">
        <x:v>96.7</x:v>
      </x:c>
      <x:c r="F148" s="98" t="n">
        <x:v>98.7</x:v>
      </x:c>
      <x:c r="G148" s="98" t="n">
        <x:v>97.7</x:v>
      </x:c>
      <x:c r="H148" s="98" t="n">
        <x:v>96.7</x:v>
      </x:c>
      <x:c r="I148" s="98" t="n">
        <x:f>ROUND(AVERAGE(D148:H148),1)</x:f>
        <x:v>97.7</x:v>
      </x:c>
      <x:c r="J148" s="97" t="str">
        <x:v>Sehr gute bis praktisch muttersprachliche Übersetzungsqualität; keine relevanten Einzelprobleme im geprüften Paket.</x:v>
      </x:c>
    </x:row>
    <x:row r="149" ht="21.600000381469727" hidden="0" customHeight="1">
      <x:c r="A149" s="99" t="str">
        <x:v>Englisch (en)</x:v>
      </x:c>
      <x:c r="B149" s="99" t="str">
        <x:v>P21</x:v>
      </x:c>
      <x:c r="C149" s="99" t="str">
        <x:v>Barrierefreiheit</x:v>
      </x:c>
      <x:c r="D149" s="100" t="n">
        <x:v>98</x:v>
      </x:c>
      <x:c r="E149" s="100" t="n">
        <x:v>97</x:v>
      </x:c>
      <x:c r="F149" s="100" t="n">
        <x:v>98</x:v>
      </x:c>
      <x:c r="G149" s="100" t="n">
        <x:v>97</x:v>
      </x:c>
      <x:c r="H149" s="100" t="n">
        <x:v>97</x:v>
      </x:c>
      <x:c r="I149" s="100" t="n">
        <x:f>ROUND(AVERAGE(D149:H149),1)</x:f>
        <x:v>97.4</x:v>
      </x:c>
      <x:c r="J149" s="99" t="str">
        <x:v>Französischer Seiteninhalt, Metadaten und interne Links aktiv verdrahtet; Legal Review bleibt erforderlich.</x:v>
      </x:c>
    </x:row>
    <x:row r="150" ht="21.600000381469727" hidden="0" customHeight="1">
      <x:c r="A150" s="97" t="str">
        <x:v>Französisch (fr-FR)</x:v>
      </x:c>
      <x:c r="B150" s="97" t="str">
        <x:v>P21</x:v>
      </x:c>
      <x:c r="C150" s="97" t="str">
        <x:v>Barrierefreiheit</x:v>
      </x:c>
      <x:c r="D150" s="98" t="n">
        <x:v>97</x:v>
      </x:c>
      <x:c r="E150" s="98" t="n">
        <x:v>96</x:v>
      </x:c>
      <x:c r="F150" s="98" t="n">
        <x:v>98</x:v>
      </x:c>
      <x:c r="G150" s="98" t="n">
        <x:v>96</x:v>
      </x:c>
      <x:c r="H150" s="98" t="n">
        <x:v>96</x:v>
      </x:c>
      <x:c r="I150" s="98" t="n">
        <x:f>ROUND(AVERAGE(D150:H150),1)</x:f>
        <x:v>96.6</x:v>
      </x:c>
      <x:c r="J150" s="97" t="str">
        <x:v>Französischer Seiteninhalt, Metadaten und interne Links aktiv verdrahtet; Legal Review bleibt erforderlich.</x:v>
      </x:c>
    </x:row>
    <x:row r="151" ht="21.600000381469727" hidden="0" customHeight="1">
      <x:c r="A151" s="99" t="str">
        <x:v>Dänisch (da-DK)</x:v>
      </x:c>
      <x:c r="B151" s="99" t="str">
        <x:v>P21</x:v>
      </x:c>
      <x:c r="C151" s="99" t="str">
        <x:v>Barrierefreiheit</x:v>
      </x:c>
      <x:c r="D151" s="100" t="n">
        <x:v>97.7</x:v>
      </x:c>
      <x:c r="E151" s="100" t="n">
        <x:v>95.7</x:v>
      </x:c>
      <x:c r="F151" s="100" t="n">
        <x:v>97.7</x:v>
      </x:c>
      <x:c r="G151" s="100" t="n">
        <x:v>95.7</x:v>
      </x:c>
      <x:c r="H151" s="100" t="n">
        <x:v>96.7</x:v>
      </x:c>
      <x:c r="I151" s="100" t="n">
        <x:f>ROUND(AVERAGE(D151:H151),1)</x:f>
        <x:v>96.7</x:v>
      </x:c>
      <x:c r="J151" s="99" t="str">
        <x:v>Sehr gute bis praktisch muttersprachliche Übersetzungsqualität; keine relevanten Einzelprobleme im geprüften Paket.</x:v>
      </x:c>
    </x:row>
    <x:row r="152" ht="21.600000381469727" hidden="0" customHeight="1">
      <x:c r="A152" s="97" t="str">
        <x:v>Spanisch (es-ES)</x:v>
      </x:c>
      <x:c r="B152" s="97" t="str">
        <x:v>P21</x:v>
      </x:c>
      <x:c r="C152" s="97" t="str">
        <x:v>Barrierefreiheit</x:v>
      </x:c>
      <x:c r="D152" s="97" t="n">
        <x:v>97.7</x:v>
      </x:c>
      <x:c r="E152" s="97" t="n">
        <x:v>96.7</x:v>
      </x:c>
      <x:c r="F152" s="97" t="n">
        <x:v>98.7</x:v>
      </x:c>
      <x:c r="G152" s="97" t="n">
        <x:v>96.7</x:v>
      </x:c>
      <x:c r="H152" s="97" t="n">
        <x:v>97.7</x:v>
      </x:c>
      <x:c r="I152" s="97" t="n">
        <x:f>ROUND(AVERAGE(D152:H152),1)</x:f>
        <x:v>97.5</x:v>
      </x:c>
      <x:c r="J152" s="97" t="str">
        <x:v>Sehr gute bis praktisch muttersprachliche Übersetzungsqualität; keine relevanten Einzelprobleme im geprüften Paket.</x:v>
      </x:c>
    </x:row>
    <x:row r="153" ht="21.600000381469727" hidden="0" customHeight="1">
      <x:c r="A153" s="99" t="str">
        <x:v>Niederländisch (nl-NL)</x:v>
      </x:c>
      <x:c r="B153" s="99" t="str">
        <x:v>P21</x:v>
      </x:c>
      <x:c r="C153" s="99" t="str">
        <x:v>Barrierefreiheit</x:v>
      </x:c>
      <x:c r="D153" s="99" t="n">
        <x:v>97.7</x:v>
      </x:c>
      <x:c r="E153" s="99" t="n">
        <x:v>96.7</x:v>
      </x:c>
      <x:c r="F153" s="99" t="n">
        <x:v>98.7</x:v>
      </x:c>
      <x:c r="G153" s="99" t="n">
        <x:v>96.7</x:v>
      </x:c>
      <x:c r="H153" s="99" t="n">
        <x:v>97.7</x:v>
      </x:c>
      <x:c r="I153" s="99" t="n">
        <x:f>ROUND(AVERAGE(D153:H153),1)</x:f>
        <x:v>97.5</x:v>
      </x:c>
      <x:c r="J153" s="99" t="str">
        <x:v>Sehr gute bis praktisch muttersprachliche Übersetzungsqualität; keine relevanten Einzelprobleme im geprüften Paket.</x:v>
      </x:c>
    </x:row>
    <x:row r="154" ht="21.600000381469727" hidden="0" customHeight="1">
      <x:c r="A154" s="97" t="str">
        <x:v>Norwegisch Bokmål (nb-NO)</x:v>
      </x:c>
      <x:c r="B154" s="97" t="str">
        <x:v>P21</x:v>
      </x:c>
      <x:c r="C154" s="97" t="str">
        <x:v>Barrierefreiheit</x:v>
      </x:c>
      <x:c r="D154" s="97" t="n">
        <x:v>96.7</x:v>
      </x:c>
      <x:c r="E154" s="97" t="n">
        <x:v>87.7</x:v>
      </x:c>
      <x:c r="F154" s="97" t="n">
        <x:v>89.7</x:v>
      </x:c>
      <x:c r="G154" s="97" t="n">
        <x:v>91.7</x:v>
      </x:c>
      <x:c r="H154" s="97" t="n">
        <x:v>94.7</x:v>
      </x:c>
      <x:c r="I154" s="97" t="n">
        <x:f>ROUND(AVERAGE(D154:H154),1)</x:f>
        <x:v>92.1</x:v>
      </x:c>
      <x:c r="J154" s="97" t="str">
        <x:v>Offizielle deutsche Gesetzesnamen sind zulässig, aber die grammatische Einbettung ist nicht nativ.</x:v>
      </x:c>
    </x:row>
    <x:row r="155" ht="21.600000381469727" hidden="0" customHeight="1">
      <x:c r="A155" s="99" t="str">
        <x:v>Schwedisch (sv-SE)</x:v>
      </x:c>
      <x:c r="B155" s="99" t="str">
        <x:v>P21</x:v>
      </x:c>
      <x:c r="C155" s="99" t="str">
        <x:v>Barrierefreiheit</x:v>
      </x:c>
      <x:c r="D155" s="99" t="n">
        <x:v>96.7</x:v>
      </x:c>
      <x:c r="E155" s="99" t="n">
        <x:v>87.7</x:v>
      </x:c>
      <x:c r="F155" s="99" t="n">
        <x:v>89.7</x:v>
      </x:c>
      <x:c r="G155" s="99" t="n">
        <x:v>91.7</x:v>
      </x:c>
      <x:c r="H155" s="99" t="n">
        <x:v>94.7</x:v>
      </x:c>
      <x:c r="I155" s="99" t="n">
        <x:f>ROUND(AVERAGE(D155:H155),1)</x:f>
        <x:v>92.1</x:v>
      </x:c>
      <x:c r="J155" s="99" t="str">
        <x:v>Offizielle deutsche Gesetzesnamen sind zulässig, aber die grammatische Einbettung ist nicht nativ.</x:v>
      </x:c>
    </x:row>
    <x:row r="156" ht="21.600000381469727" hidden="0" customHeight="1">
      <x:c r="A156" s="97" t="str">
        <x:v>Englisch (en)</x:v>
      </x:c>
      <x:c r="B156" s="97" t="str">
        <x:v>P22</x:v>
      </x:c>
      <x:c r="C156" s="97" t="str">
        <x:v>Versand &amp; Zahlung</x:v>
      </x:c>
      <x:c r="D156" s="97" t="n">
        <x:v>98</x:v>
      </x:c>
      <x:c r="E156" s="97" t="n">
        <x:v>97</x:v>
      </x:c>
      <x:c r="F156" s="97" t="n">
        <x:v>98</x:v>
      </x:c>
      <x:c r="G156" s="97" t="n">
        <x:v>97</x:v>
      </x:c>
      <x:c r="H156" s="97" t="n">
        <x:v>97</x:v>
      </x:c>
      <x:c r="I156" s="97" t="n">
        <x:f>ROUND(AVERAGE(D156:H156),1)</x:f>
        <x:v>97.4</x:v>
      </x:c>
      <x:c r="J156" s="97" t="str">
        <x:v>Französischer Seiteninhalt, Metadaten und interne Links aktiv verdrahtet; Legal Review bleibt erforderlich.</x:v>
      </x:c>
    </x:row>
    <x:row r="157" ht="21.600000381469727" hidden="0" customHeight="1">
      <x:c r="A157" s="99" t="str">
        <x:v>Französisch (fr-FR)</x:v>
      </x:c>
      <x:c r="B157" s="99" t="str">
        <x:v>P22</x:v>
      </x:c>
      <x:c r="C157" s="99" t="str">
        <x:v>Versand &amp; Zahlung</x:v>
      </x:c>
      <x:c r="D157" s="99" t="n">
        <x:v>97</x:v>
      </x:c>
      <x:c r="E157" s="99" t="n">
        <x:v>96</x:v>
      </x:c>
      <x:c r="F157" s="99" t="n">
        <x:v>98</x:v>
      </x:c>
      <x:c r="G157" s="99" t="n">
        <x:v>96</x:v>
      </x:c>
      <x:c r="H157" s="99" t="n">
        <x:v>96</x:v>
      </x:c>
      <x:c r="I157" s="99" t="n">
        <x:f>ROUND(AVERAGE(D157:H157),1)</x:f>
        <x:v>96.6</x:v>
      </x:c>
      <x:c r="J157" s="99" t="str">
        <x:v>Französischer Seiteninhalt, Metadaten und interne Links aktiv verdrahtet; Legal Review bleibt erforderlich.</x:v>
      </x:c>
    </x:row>
    <x:row r="158" ht="21.600000381469727" hidden="0" customHeight="1">
      <x:c r="A158" s="97" t="str">
        <x:v>Dänisch (da-DK)</x:v>
      </x:c>
      <x:c r="B158" s="97" t="str">
        <x:v>P22</x:v>
      </x:c>
      <x:c r="C158" s="97" t="str">
        <x:v>Versand &amp; Zahlung</x:v>
      </x:c>
      <x:c r="D158" s="97" t="n">
        <x:v>98.7</x:v>
      </x:c>
      <x:c r="E158" s="97" t="n">
        <x:v>97.7</x:v>
      </x:c>
      <x:c r="F158" s="97" t="n">
        <x:v>98.7</x:v>
      </x:c>
      <x:c r="G158" s="97" t="n">
        <x:v>97.7</x:v>
      </x:c>
      <x:c r="H158" s="97" t="n">
        <x:v>97.7</x:v>
      </x:c>
      <x:c r="I158" s="97" t="n">
        <x:f>ROUND(AVERAGE(D158:H158),1)</x:f>
        <x:v>98.1</x:v>
      </x:c>
      <x:c r="J158" s="97" t="str">
        <x:v>Sehr gute bis praktisch muttersprachliche Übersetzungsqualität; keine relevanten Einzelprobleme im geprüften Paket.</x:v>
      </x:c>
    </x:row>
    <x:row r="159" ht="21.600000381469727" hidden="0" customHeight="1">
      <x:c r="A159" s="99" t="str">
        <x:v>Spanisch (es-ES)</x:v>
      </x:c>
      <x:c r="B159" s="99" t="str">
        <x:v>P22</x:v>
      </x:c>
      <x:c r="C159" s="99" t="str">
        <x:v>Versand &amp; Zahlung</x:v>
      </x:c>
      <x:c r="D159" s="99" t="n">
        <x:v>98.7</x:v>
      </x:c>
      <x:c r="E159" s="99" t="n">
        <x:v>97.7</x:v>
      </x:c>
      <x:c r="F159" s="99" t="n">
        <x:v>98.7</x:v>
      </x:c>
      <x:c r="G159" s="99" t="n">
        <x:v>97.7</x:v>
      </x:c>
      <x:c r="H159" s="99" t="n">
        <x:v>97.7</x:v>
      </x:c>
      <x:c r="I159" s="99" t="n">
        <x:f>ROUND(AVERAGE(D159:H159),1)</x:f>
        <x:v>98.1</x:v>
      </x:c>
      <x:c r="J159" s="99" t="str">
        <x:v>Sehr gute bis praktisch muttersprachliche Übersetzungsqualität; keine relevanten Einzelprobleme im geprüften Paket.</x:v>
      </x:c>
    </x:row>
    <x:row r="160" ht="21.600000381469727" hidden="0" customHeight="1">
      <x:c r="A160" s="97" t="str">
        <x:v>Niederländisch (nl-NL)</x:v>
      </x:c>
      <x:c r="B160" s="97" t="str">
        <x:v>P22</x:v>
      </x:c>
      <x:c r="C160" s="97" t="str">
        <x:v>Versand &amp; Zahlung</x:v>
      </x:c>
      <x:c r="D160" s="97" t="n">
        <x:v>98.7</x:v>
      </x:c>
      <x:c r="E160" s="97" t="n">
        <x:v>97.7</x:v>
      </x:c>
      <x:c r="F160" s="97" t="n">
        <x:v>98.7</x:v>
      </x:c>
      <x:c r="G160" s="97" t="n">
        <x:v>97.7</x:v>
      </x:c>
      <x:c r="H160" s="97" t="n">
        <x:v>97.7</x:v>
      </x:c>
      <x:c r="I160" s="97" t="n">
        <x:f>ROUND(AVERAGE(D160:H160),1)</x:f>
        <x:v>98.1</x:v>
      </x:c>
      <x:c r="J160" s="97" t="str">
        <x:v>Sehr gute bis praktisch muttersprachliche Übersetzungsqualität; keine relevanten Einzelprobleme im geprüften Paket.</x:v>
      </x:c>
    </x:row>
    <x:row r="161" ht="21.600000381469727" hidden="0" customHeight="1">
      <x:c r="A161" s="99" t="str">
        <x:v>Norwegisch Bokmål (nb-NO)</x:v>
      </x:c>
      <x:c r="B161" s="99" t="str">
        <x:v>P22</x:v>
      </x:c>
      <x:c r="C161" s="99" t="str">
        <x:v>Versand &amp; Zahlung</x:v>
      </x:c>
      <x:c r="D161" s="99" t="n">
        <x:v>98.7</x:v>
      </x:c>
      <x:c r="E161" s="99" t="n">
        <x:v>97.7</x:v>
      </x:c>
      <x:c r="F161" s="99" t="n">
        <x:v>98.7</x:v>
      </x:c>
      <x:c r="G161" s="99" t="n">
        <x:v>97.7</x:v>
      </x:c>
      <x:c r="H161" s="99" t="n">
        <x:v>97.7</x:v>
      </x:c>
      <x:c r="I161" s="99" t="n">
        <x:f>ROUND(AVERAGE(D161:H161),1)</x:f>
        <x:v>98.1</x:v>
      </x:c>
      <x:c r="J161" s="99" t="str">
        <x:v>Sehr gute bis praktisch muttersprachliche Übersetzungsqualität; keine relevanten Einzelprobleme im geprüften Paket.</x:v>
      </x:c>
    </x:row>
    <x:row r="162" ht="21.600000381469727" hidden="0" customHeight="1">
      <x:c r="A162" s="97" t="str">
        <x:v>Schwedisch (sv-SE)</x:v>
      </x:c>
      <x:c r="B162" s="97" t="str">
        <x:v>P22</x:v>
      </x:c>
      <x:c r="C162" s="97" t="str">
        <x:v>Versand &amp; Zahlung</x:v>
      </x:c>
      <x:c r="D162" s="97" t="n">
        <x:v>98.7</x:v>
      </x:c>
      <x:c r="E162" s="97" t="n">
        <x:v>97.7</x:v>
      </x:c>
      <x:c r="F162" s="97" t="n">
        <x:v>98.7</x:v>
      </x:c>
      <x:c r="G162" s="97" t="n">
        <x:v>97.7</x:v>
      </x:c>
      <x:c r="H162" s="97" t="n">
        <x:v>97.7</x:v>
      </x:c>
      <x:c r="I162" s="97" t="n">
        <x:f>ROUND(AVERAGE(D162:H162),1)</x:f>
        <x:v>98.1</x:v>
      </x:c>
      <x:c r="J162" s="97" t="str">
        <x:v>Sehr gute bis praktisch muttersprachliche Übersetzungsqualität; keine relevanten Einzelprobleme im geprüften Paket.</x:v>
      </x:c>
    </x:row>
    <x:row r="163" ht="21.600000381469727" hidden="0" customHeight="1">
      <x:c r="A163" s="99" t="str">
        <x:v>Englisch (en)</x:v>
      </x:c>
      <x:c r="B163" s="99" t="str">
        <x:v>P23</x:v>
      </x:c>
      <x:c r="C163" s="99" t="str">
        <x:v>Widerruf</x:v>
      </x:c>
      <x:c r="D163" s="99" t="n">
        <x:v>98</x:v>
      </x:c>
      <x:c r="E163" s="99" t="n">
        <x:v>97</x:v>
      </x:c>
      <x:c r="F163" s="99" t="n">
        <x:v>98</x:v>
      </x:c>
      <x:c r="G163" s="99" t="n">
        <x:v>97</x:v>
      </x:c>
      <x:c r="H163" s="99" t="n">
        <x:v>97</x:v>
      </x:c>
      <x:c r="I163" s="99" t="n">
        <x:f>ROUND(AVERAGE(D163:H163),1)</x:f>
        <x:v>97.4</x:v>
      </x:c>
      <x:c r="J163" s="99" t="str">
        <x:v>Französischer Seiteninhalt, Formularfelder und Metadaten aktiv verdrahtet; Legal Review bleibt erforderlich.</x:v>
      </x:c>
    </x:row>
    <x:row r="164" ht="21.600000381469727" hidden="0" customHeight="1">
      <x:c r="A164" s="97" t="str">
        <x:v>Französisch (fr-FR)</x:v>
      </x:c>
      <x:c r="B164" s="97" t="str">
        <x:v>P23</x:v>
      </x:c>
      <x:c r="C164" s="97" t="str">
        <x:v>Widerruf</x:v>
      </x:c>
      <x:c r="D164" s="97" t="n">
        <x:v>96</x:v>
      </x:c>
      <x:c r="E164" s="97" t="n">
        <x:v>95</x:v>
      </x:c>
      <x:c r="F164" s="97" t="n">
        <x:v>97</x:v>
      </x:c>
      <x:c r="G164" s="97" t="n">
        <x:v>95</x:v>
      </x:c>
      <x:c r="H164" s="97" t="n">
        <x:v>95</x:v>
      </x:c>
      <x:c r="I164" s="97" t="n">
        <x:f>ROUND(AVERAGE(D164:H164),1)</x:f>
        <x:v>95.6</x:v>
      </x:c>
      <x:c r="J164" s="97" t="str">
        <x:v>Französischer Seiteninhalt, Formularfelder und Metadaten aktiv verdrahtet; Legal Review bleibt erforderlich.</x:v>
      </x:c>
    </x:row>
    <x:row r="165" ht="21.600000381469727" hidden="0" customHeight="1">
      <x:c r="A165" s="99" t="str">
        <x:v>Dänisch (da-DK)</x:v>
      </x:c>
      <x:c r="B165" s="99" t="str">
        <x:v>P23</x:v>
      </x:c>
      <x:c r="C165" s="99" t="str">
        <x:v>Widerruf</x:v>
      </x:c>
      <x:c r="D165" s="99" t="n">
        <x:v>97.7</x:v>
      </x:c>
      <x:c r="E165" s="99" t="n">
        <x:v>95.7</x:v>
      </x:c>
      <x:c r="F165" s="99" t="n">
        <x:v>97.7</x:v>
      </x:c>
      <x:c r="G165" s="99" t="n">
        <x:v>95.7</x:v>
      </x:c>
      <x:c r="H165" s="99" t="n">
        <x:v>96.7</x:v>
      </x:c>
      <x:c r="I165" s="99" t="n">
        <x:f>ROUND(AVERAGE(D165:H165),1)</x:f>
        <x:v>96.7</x:v>
      </x:c>
      <x:c r="J165" s="99" t="str">
        <x:v>Sehr gute bis praktisch muttersprachliche Übersetzungsqualität; keine relevanten Einzelprobleme im geprüften Paket.</x:v>
      </x:c>
    </x:row>
    <x:row r="166" ht="21.600000381469727" hidden="0" customHeight="1">
      <x:c r="A166" s="97" t="str">
        <x:v>Spanisch (es-ES)</x:v>
      </x:c>
      <x:c r="B166" s="97" t="str">
        <x:v>P23</x:v>
      </x:c>
      <x:c r="C166" s="97" t="str">
        <x:v>Widerruf</x:v>
      </x:c>
      <x:c r="D166" s="97" t="n">
        <x:v>97.7</x:v>
      </x:c>
      <x:c r="E166" s="97" t="n">
        <x:v>95.7</x:v>
      </x:c>
      <x:c r="F166" s="97" t="n">
        <x:v>97.7</x:v>
      </x:c>
      <x:c r="G166" s="97" t="n">
        <x:v>95.7</x:v>
      </x:c>
      <x:c r="H166" s="97" t="n">
        <x:v>96.7</x:v>
      </x:c>
      <x:c r="I166" s="97" t="n">
        <x:f>ROUND(AVERAGE(D166:H166),1)</x:f>
        <x:v>96.7</x:v>
      </x:c>
      <x:c r="J166" s="97" t="str">
        <x:v>Sehr gute bis praktisch muttersprachliche Übersetzungsqualität; keine relevanten Einzelprobleme im geprüften Paket.</x:v>
      </x:c>
    </x:row>
    <x:row r="167" ht="21.600000381469727" hidden="0" customHeight="1">
      <x:c r="A167" s="99" t="str">
        <x:v>Niederländisch (nl-NL)</x:v>
      </x:c>
      <x:c r="B167" s="99" t="str">
        <x:v>P23</x:v>
      </x:c>
      <x:c r="C167" s="99" t="str">
        <x:v>Widerruf</x:v>
      </x:c>
      <x:c r="D167" s="99" t="n">
        <x:v>97.7</x:v>
      </x:c>
      <x:c r="E167" s="99" t="n">
        <x:v>95.7</x:v>
      </x:c>
      <x:c r="F167" s="99" t="n">
        <x:v>97.7</x:v>
      </x:c>
      <x:c r="G167" s="99" t="n">
        <x:v>95.7</x:v>
      </x:c>
      <x:c r="H167" s="99" t="n">
        <x:v>96.7</x:v>
      </x:c>
      <x:c r="I167" s="99" t="n">
        <x:f>ROUND(AVERAGE(D167:H167),1)</x:f>
        <x:v>96.7</x:v>
      </x:c>
      <x:c r="J167" s="99" t="str">
        <x:v>Sehr gute bis praktisch muttersprachliche Übersetzungsqualität; keine relevanten Einzelprobleme im geprüften Paket.</x:v>
      </x:c>
    </x:row>
    <x:row r="168" ht="21.600000381469727" hidden="0" customHeight="1">
      <x:c r="A168" s="97" t="str">
        <x:v>Norwegisch Bokmål (nb-NO)</x:v>
      </x:c>
      <x:c r="B168" s="97" t="str">
        <x:v>P23</x:v>
      </x:c>
      <x:c r="C168" s="97" t="str">
        <x:v>Widerruf</x:v>
      </x:c>
      <x:c r="D168" s="97" t="n">
        <x:v>97.7</x:v>
      </x:c>
      <x:c r="E168" s="97" t="n">
        <x:v>95.7</x:v>
      </x:c>
      <x:c r="F168" s="97" t="n">
        <x:v>97.7</x:v>
      </x:c>
      <x:c r="G168" s="97" t="n">
        <x:v>95.7</x:v>
      </x:c>
      <x:c r="H168" s="97" t="n">
        <x:v>96.7</x:v>
      </x:c>
      <x:c r="I168" s="97" t="n">
        <x:f>ROUND(AVERAGE(D168:H168),1)</x:f>
        <x:v>96.7</x:v>
      </x:c>
      <x:c r="J168" s="97" t="str">
        <x:v>Sehr gute bis praktisch muttersprachliche Übersetzungsqualität; keine relevanten Einzelprobleme im geprüften Paket.</x:v>
      </x:c>
    </x:row>
    <x:row r="169" ht="21.600000381469727" hidden="0" customHeight="1">
      <x:c r="A169" s="99" t="str">
        <x:v>Schwedisch (sv-SE)</x:v>
      </x:c>
      <x:c r="B169" s="99" t="str">
        <x:v>P23</x:v>
      </x:c>
      <x:c r="C169" s="99" t="str">
        <x:v>Widerruf</x:v>
      </x:c>
      <x:c r="D169" s="99" t="n">
        <x:v>97.7</x:v>
      </x:c>
      <x:c r="E169" s="99" t="n">
        <x:v>95.7</x:v>
      </x:c>
      <x:c r="F169" s="99" t="n">
        <x:v>97.7</x:v>
      </x:c>
      <x:c r="G169" s="99" t="n">
        <x:v>95.7</x:v>
      </x:c>
      <x:c r="H169" s="99" t="n">
        <x:v>96.7</x:v>
      </x:c>
      <x:c r="I169" s="99" t="n">
        <x:f>ROUND(AVERAGE(D169:H169),1)</x:f>
        <x:v>96.7</x:v>
      </x:c>
      <x:c r="J169" s="99" t="str">
        <x:v>Sehr gute bis praktisch muttersprachliche Übersetzungsqualität; keine relevanten Einzelprobleme im geprüften Paket.</x:v>
      </x:c>
    </x:row>
    <x:row r="170" ht="21.600000381469727" hidden="0" customHeight="1">
      <x:c r="A170" s="97" t="str">
        <x:v>Englisch (en)</x:v>
      </x:c>
      <x:c r="B170" s="97" t="str">
        <x:v>P24</x:v>
      </x:c>
      <x:c r="C170" s="97" t="str">
        <x:v>AGB / Kundeninformationen</x:v>
      </x:c>
      <x:c r="D170" s="97" t="n">
        <x:v>98</x:v>
      </x:c>
      <x:c r="E170" s="97" t="n">
        <x:v>97</x:v>
      </x:c>
      <x:c r="F170" s="97" t="n">
        <x:v>98</x:v>
      </x:c>
      <x:c r="G170" s="97" t="n">
        <x:v>97</x:v>
      </x:c>
      <x:c r="H170" s="97" t="n">
        <x:v>97</x:v>
      </x:c>
      <x:c r="I170" s="97" t="n">
        <x:f>ROUND(AVERAGE(D170:H170),1)</x:f>
        <x:v>97.4</x:v>
      </x:c>
      <x:c r="J170" s="97" t="str">
        <x:v>45 von 45 literal übersetzbaren CGV-Textblöcken sind zur FR-Laufzeit abgedeckt.</x:v>
      </x:c>
    </x:row>
    <x:row r="171" ht="21.600000381469727" hidden="0" customHeight="1">
      <x:c r="A171" s="99" t="str">
        <x:v>Französisch (fr-FR)</x:v>
      </x:c>
      <x:c r="B171" s="99" t="str">
        <x:v>P24</x:v>
      </x:c>
      <x:c r="C171" s="99" t="str">
        <x:v>AGB / Kundeninformationen</x:v>
      </x:c>
      <x:c r="D171" s="99" t="n">
        <x:v>96</x:v>
      </x:c>
      <x:c r="E171" s="99" t="n">
        <x:v>95</x:v>
      </x:c>
      <x:c r="F171" s="99" t="n">
        <x:v>97</x:v>
      </x:c>
      <x:c r="G171" s="99" t="n">
        <x:v>95</x:v>
      </x:c>
      <x:c r="H171" s="99" t="n">
        <x:v>95</x:v>
      </x:c>
      <x:c r="I171" s="99" t="n">
        <x:f>ROUND(AVERAGE(D171:H171),1)</x:f>
        <x:v>95.6</x:v>
      </x:c>
      <x:c r="J171" s="99" t="str">
        <x:v>45 von 45 literal übersetzbaren CGV-Textblöcken sind zur FR-Laufzeit abgedeckt.</x:v>
      </x:c>
    </x:row>
    <x:row r="172" ht="21.600000381469727" hidden="0" customHeight="1">
      <x:c r="A172" s="97" t="str">
        <x:v>Dänisch (da-DK)</x:v>
      </x:c>
      <x:c r="B172" s="97" t="str">
        <x:v>P24</x:v>
      </x:c>
      <x:c r="C172" s="97" t="str">
        <x:v>AGB / Kundeninformationen</x:v>
      </x:c>
      <x:c r="D172" s="97" t="n">
        <x:v>97.7</x:v>
      </x:c>
      <x:c r="E172" s="97" t="n">
        <x:v>95.7</x:v>
      </x:c>
      <x:c r="F172" s="97" t="n">
        <x:v>97.7</x:v>
      </x:c>
      <x:c r="G172" s="97" t="n">
        <x:v>95.7</x:v>
      </x:c>
      <x:c r="H172" s="97" t="n">
        <x:v>96.7</x:v>
      </x:c>
      <x:c r="I172" s="97" t="n">
        <x:f>ROUND(AVERAGE(D172:H172),1)</x:f>
        <x:v>96.7</x:v>
      </x:c>
      <x:c r="J172" s="97" t="str">
        <x:v>Sehr gute bis praktisch muttersprachliche Übersetzungsqualität; keine relevanten Einzelprobleme im geprüften Paket.</x:v>
      </x:c>
    </x:row>
    <x:row r="173" ht="21.600000381469727" hidden="0" customHeight="1">
      <x:c r="A173" s="99" t="str">
        <x:v>Spanisch (es-ES)</x:v>
      </x:c>
      <x:c r="B173" s="99" t="str">
        <x:v>P24</x:v>
      </x:c>
      <x:c r="C173" s="99" t="str">
        <x:v>AGB / Kundeninformationen</x:v>
      </x:c>
      <x:c r="D173" s="99" t="n">
        <x:v>97.7</x:v>
      </x:c>
      <x:c r="E173" s="99" t="n">
        <x:v>95.7</x:v>
      </x:c>
      <x:c r="F173" s="99" t="n">
        <x:v>97.7</x:v>
      </x:c>
      <x:c r="G173" s="99" t="n">
        <x:v>95.7</x:v>
      </x:c>
      <x:c r="H173" s="99" t="n">
        <x:v>96.7</x:v>
      </x:c>
      <x:c r="I173" s="99" t="n">
        <x:f>ROUND(AVERAGE(D173:H173),1)</x:f>
        <x:v>96.7</x:v>
      </x:c>
      <x:c r="J173" s="99" t="str">
        <x:v>Sehr gute bis praktisch muttersprachliche Übersetzungsqualität; keine relevanten Einzelprobleme im geprüften Paket.</x:v>
      </x:c>
    </x:row>
    <x:row r="174" ht="21.600000381469727" hidden="0" customHeight="1">
      <x:c r="A174" s="97" t="str">
        <x:v>Niederländisch (nl-NL)</x:v>
      </x:c>
      <x:c r="B174" s="97" t="str">
        <x:v>P24</x:v>
      </x:c>
      <x:c r="C174" s="97" t="str">
        <x:v>AGB / Kundeninformationen</x:v>
      </x:c>
      <x:c r="D174" s="97" t="n">
        <x:v>97.7</x:v>
      </x:c>
      <x:c r="E174" s="97" t="n">
        <x:v>95.7</x:v>
      </x:c>
      <x:c r="F174" s="97" t="n">
        <x:v>97.7</x:v>
      </x:c>
      <x:c r="G174" s="97" t="n">
        <x:v>95.7</x:v>
      </x:c>
      <x:c r="H174" s="97" t="n">
        <x:v>96.7</x:v>
      </x:c>
      <x:c r="I174" s="97" t="n">
        <x:f>ROUND(AVERAGE(D174:H174),1)</x:f>
        <x:v>96.7</x:v>
      </x:c>
      <x:c r="J174" s="97" t="str">
        <x:v>Sehr gute bis praktisch muttersprachliche Übersetzungsqualität; keine relevanten Einzelprobleme im geprüften Paket.</x:v>
      </x:c>
    </x:row>
    <x:row r="175" ht="21.600000381469727" hidden="0" customHeight="1">
      <x:c r="A175" s="99" t="str">
        <x:v>Norwegisch Bokmål (nb-NO)</x:v>
      </x:c>
      <x:c r="B175" s="99" t="str">
        <x:v>P24</x:v>
      </x:c>
      <x:c r="C175" s="99" t="str">
        <x:v>AGB / Kundeninformationen</x:v>
      </x:c>
      <x:c r="D175" s="99" t="n">
        <x:v>97.7</x:v>
      </x:c>
      <x:c r="E175" s="99" t="n">
        <x:v>95.7</x:v>
      </x:c>
      <x:c r="F175" s="99" t="n">
        <x:v>97.7</x:v>
      </x:c>
      <x:c r="G175" s="99" t="n">
        <x:v>95.7</x:v>
      </x:c>
      <x:c r="H175" s="99" t="n">
        <x:v>96.7</x:v>
      </x:c>
      <x:c r="I175" s="99" t="n">
        <x:f>ROUND(AVERAGE(D175:H175),1)</x:f>
        <x:v>96.7</x:v>
      </x:c>
      <x:c r="J175" s="99" t="str">
        <x:v>Sehr gute bis praktisch muttersprachliche Übersetzungsqualität; keine relevanten Einzelprobleme im geprüften Paket.</x:v>
      </x:c>
    </x:row>
    <x:row r="176" ht="21.600000381469727" hidden="0" customHeight="1">
      <x:c r="A176" s="97" t="str">
        <x:v>Schwedisch (sv-SE)</x:v>
      </x:c>
      <x:c r="B176" s="97" t="str">
        <x:v>P24</x:v>
      </x:c>
      <x:c r="C176" s="97" t="str">
        <x:v>AGB / Kundeninformationen</x:v>
      </x:c>
      <x:c r="D176" s="97" t="n">
        <x:v>97.7</x:v>
      </x:c>
      <x:c r="E176" s="97" t="n">
        <x:v>95.7</x:v>
      </x:c>
      <x:c r="F176" s="97" t="n">
        <x:v>97.7</x:v>
      </x:c>
      <x:c r="G176" s="97" t="n">
        <x:v>95.7</x:v>
      </x:c>
      <x:c r="H176" s="97" t="n">
        <x:v>96.7</x:v>
      </x:c>
      <x:c r="I176" s="97" t="n">
        <x:f>ROUND(AVERAGE(D176:H176),1)</x:f>
        <x:v>96.7</x:v>
      </x:c>
      <x:c r="J176" s="97" t="str">
        <x:v>Sehr gute bis praktisch muttersprachliche Übersetzungsqualität; keine relevanten Einzelprobleme im geprüften Paket.</x:v>
      </x:c>
    </x:row>
    <x:row r="177" ht="21.600000381469727" hidden="0" customHeight="1">
      <x:c r="A177" s="99" t="str">
        <x:v>Englisch (en)</x:v>
      </x:c>
      <x:c r="B177" s="99" t="str">
        <x:v>P25</x:v>
      </x:c>
      <x:c r="C177" s="99" t="str">
        <x:v>Impressum</x:v>
      </x:c>
      <x:c r="D177" s="99" t="n">
        <x:v>98</x:v>
      </x:c>
      <x:c r="E177" s="99" t="n">
        <x:v>97</x:v>
      </x:c>
      <x:c r="F177" s="99" t="n">
        <x:v>98</x:v>
      </x:c>
      <x:c r="G177" s="99" t="n">
        <x:v>97</x:v>
      </x:c>
      <x:c r="H177" s="99" t="n">
        <x:v>97</x:v>
      </x:c>
      <x:c r="I177" s="99" t="n">
        <x:f>ROUND(AVERAGE(D177:H177),1)</x:f>
        <x:v>97.4</x:v>
      </x:c>
      <x:c r="J177" s="99" t="str">
        <x:v>Eigene vollständige französische Mentions-légales-Seite aktiv; keine deutschen Laufzeitfunde.</x:v>
      </x:c>
    </x:row>
    <x:row r="178" ht="21.600000381469727" hidden="0" customHeight="1">
      <x:c r="A178" s="97" t="str">
        <x:v>Französisch (fr-FR)</x:v>
      </x:c>
      <x:c r="B178" s="97" t="str">
        <x:v>P25</x:v>
      </x:c>
      <x:c r="C178" s="97" t="str">
        <x:v>Impressum</x:v>
      </x:c>
      <x:c r="D178" s="97" t="n">
        <x:v>97</x:v>
      </x:c>
      <x:c r="E178" s="97" t="n">
        <x:v>96</x:v>
      </x:c>
      <x:c r="F178" s="97" t="n">
        <x:v>98</x:v>
      </x:c>
      <x:c r="G178" s="97" t="n">
        <x:v>96</x:v>
      </x:c>
      <x:c r="H178" s="97" t="n">
        <x:v>96</x:v>
      </x:c>
      <x:c r="I178" s="97" t="n">
        <x:f>ROUND(AVERAGE(D178:H178),1)</x:f>
        <x:v>96.6</x:v>
      </x:c>
      <x:c r="J178" s="97" t="str">
        <x:v>Eigene vollständige französische Mentions-légales-Seite aktiv; keine deutschen Laufzeitfunde.</x:v>
      </x:c>
    </x:row>
    <x:row r="179" ht="21.600000381469727" hidden="0" customHeight="1">
      <x:c r="A179" s="99" t="str">
        <x:v>Dänisch (da-DK)</x:v>
      </x:c>
      <x:c r="B179" s="99" t="str">
        <x:v>P25</x:v>
      </x:c>
      <x:c r="C179" s="99" t="str">
        <x:v>Impressum</x:v>
      </x:c>
      <x:c r="D179" s="99" t="n">
        <x:v>97.2</x:v>
      </x:c>
      <x:c r="E179" s="99" t="n">
        <x:v>86.2</x:v>
      </x:c>
      <x:c r="F179" s="99" t="n">
        <x:v>91.2</x:v>
      </x:c>
      <x:c r="G179" s="99" t="n">
        <x:v>80.2</x:v>
      </x:c>
      <x:c r="H179" s="99" t="n">
        <x:v>93.2</x:v>
      </x:c>
      <x:c r="I179" s="99" t="n">
        <x:f>ROUND(AVERAGE(D179:H179),1)</x:f>
        <x:v>89.6</x:v>
      </x:c>
      <x:c r="J179" s="99" t="str">
        <x:v>Rechtsterminologie, Zitatkonventionen und wiederverwendete Markenhinweise wurden gezielt bereinigt; weitere Rechtsfachprüfung bleibt separat.</x:v>
      </x:c>
    </x:row>
    <x:row r="180" ht="21.600000381469727" hidden="0" customHeight="1">
      <x:c r="A180" s="97" t="str">
        <x:v>Spanisch (es-ES)</x:v>
      </x:c>
      <x:c r="B180" s="97" t="str">
        <x:v>P25</x:v>
      </x:c>
      <x:c r="C180" s="97" t="str">
        <x:v>Impressum</x:v>
      </x:c>
      <x:c r="D180" s="97" t="n">
        <x:v>97.2</x:v>
      </x:c>
      <x:c r="E180" s="97" t="n">
        <x:v>86.2</x:v>
      </x:c>
      <x:c r="F180" s="97" t="n">
        <x:v>91.2</x:v>
      </x:c>
      <x:c r="G180" s="97" t="n">
        <x:v>80.2</x:v>
      </x:c>
      <x:c r="H180" s="97" t="n">
        <x:v>93.2</x:v>
      </x:c>
      <x:c r="I180" s="97" t="n">
        <x:f>ROUND(AVERAGE(D180:H180),1)</x:f>
        <x:v>89.6</x:v>
      </x:c>
      <x:c r="J180" s="97" t="str">
        <x:v>Rechtsterminologie, Zitatkonventionen und wiederverwendete Markenhinweise wurden gezielt bereinigt; weitere Rechtsfachprüfung bleibt separat.</x:v>
      </x:c>
    </x:row>
    <x:row r="181" ht="21.600000381469727" hidden="0" customHeight="1">
      <x:c r="A181" s="99" t="str">
        <x:v>Niederländisch (nl-NL)</x:v>
      </x:c>
      <x:c r="B181" s="99" t="str">
        <x:v>P25</x:v>
      </x:c>
      <x:c r="C181" s="99" t="str">
        <x:v>Impressum</x:v>
      </x:c>
      <x:c r="D181" s="99" t="n">
        <x:v>97.2</x:v>
      </x:c>
      <x:c r="E181" s="99" t="n">
        <x:v>86.2</x:v>
      </x:c>
      <x:c r="F181" s="99" t="n">
        <x:v>91.2</x:v>
      </x:c>
      <x:c r="G181" s="99" t="n">
        <x:v>80.2</x:v>
      </x:c>
      <x:c r="H181" s="99" t="n">
        <x:v>93.2</x:v>
      </x:c>
      <x:c r="I181" s="99" t="n">
        <x:f>ROUND(AVERAGE(D181:H181),1)</x:f>
        <x:v>89.6</x:v>
      </x:c>
      <x:c r="J181" s="99" t="str">
        <x:v>Rechtsterminologie, Zitatkonventionen und wiederverwendete Markenhinweise wurden gezielt bereinigt; weitere Rechtsfachprüfung bleibt separat.</x:v>
      </x:c>
    </x:row>
    <x:row r="182" ht="21.600000381469727" hidden="0" customHeight="1">
      <x:c r="A182" s="97" t="str">
        <x:v>Norwegisch Bokmål (nb-NO)</x:v>
      </x:c>
      <x:c r="B182" s="97" t="str">
        <x:v>P25</x:v>
      </x:c>
      <x:c r="C182" s="97" t="str">
        <x:v>Impressum</x:v>
      </x:c>
      <x:c r="D182" s="97" t="n">
        <x:v>97.2</x:v>
      </x:c>
      <x:c r="E182" s="97" t="n">
        <x:v>86.2</x:v>
      </x:c>
      <x:c r="F182" s="97" t="n">
        <x:v>91.2</x:v>
      </x:c>
      <x:c r="G182" s="97" t="n">
        <x:v>80.2</x:v>
      </x:c>
      <x:c r="H182" s="97" t="n">
        <x:v>93.2</x:v>
      </x:c>
      <x:c r="I182" s="97" t="n">
        <x:f>ROUND(AVERAGE(D182:H182),1)</x:f>
        <x:v>89.6</x:v>
      </x:c>
      <x:c r="J182" s="97" t="str">
        <x:v>Rechtsterminologie, Zitatkonventionen und wiederverwendete Markenhinweise wurden gezielt bereinigt; weitere Rechtsfachprüfung bleibt separat.</x:v>
      </x:c>
    </x:row>
    <x:row r="183" ht="21.600000381469727" hidden="0" customHeight="1">
      <x:c r="A183" s="99" t="str">
        <x:v>Schwedisch (sv-SE)</x:v>
      </x:c>
      <x:c r="B183" s="99" t="str">
        <x:v>P25</x:v>
      </x:c>
      <x:c r="C183" s="99" t="str">
        <x:v>Impressum</x:v>
      </x:c>
      <x:c r="D183" s="99" t="n">
        <x:v>97.2</x:v>
      </x:c>
      <x:c r="E183" s="99" t="n">
        <x:v>86.2</x:v>
      </x:c>
      <x:c r="F183" s="99" t="n">
        <x:v>91.2</x:v>
      </x:c>
      <x:c r="G183" s="99" t="n">
        <x:v>80.2</x:v>
      </x:c>
      <x:c r="H183" s="99" t="n">
        <x:v>93.2</x:v>
      </x:c>
      <x:c r="I183" s="99" t="n">
        <x:f>ROUND(AVERAGE(D183:H183),1)</x:f>
        <x:v>89.6</x:v>
      </x:c>
      <x:c r="J183" s="99" t="str">
        <x:v>Rechtsterminologie, Zitatkonventionen und wiederverwendete Markenhinweise wurden gezielt bereinigt; weitere Rechtsfachprüfung bleibt separat.</x:v>
      </x:c>
    </x:row>
    <x:row r="184" ht="21.600000381469727" hidden="0" customHeight="1">
      <x:c r="A184" s="97" t="str">
        <x:v>Englisch (en)</x:v>
      </x:c>
      <x:c r="B184" s="97" t="str">
        <x:v>P26A</x:v>
      </x:c>
      <x:c r="C184" s="97" t="str">
        <x:v>Datenschutz – Abschnitte 1–7</x:v>
      </x:c>
      <x:c r="D184" s="97" t="n">
        <x:v>98</x:v>
      </x:c>
      <x:c r="E184" s="97" t="n">
        <x:v>97</x:v>
      </x:c>
      <x:c r="F184" s="97" t="n">
        <x:v>98</x:v>
      </x:c>
      <x:c r="G184" s="97" t="n">
        <x:v>97</x:v>
      </x:c>
      <x:c r="H184" s="97" t="n">
        <x:v>97</x:v>
      </x:c>
      <x:c r="I184" s="97" t="n">
        <x:f>ROUND(AVERAGE(D184:H184),1)</x:f>
        <x:v>97.4</x:v>
      </x:c>
      <x:c r="J184" s="97" t="str">
        <x:v>Eigene vollständige französische Datenschutzseite aktiv; Browserprüfung ohne deutsche Laufzeitfunde.</x:v>
      </x:c>
    </x:row>
    <x:row r="185" ht="21.600000381469727" hidden="0" customHeight="1">
      <x:c r="A185" s="99" t="str">
        <x:v>Französisch (fr-FR)</x:v>
      </x:c>
      <x:c r="B185" s="99" t="str">
        <x:v>P26A</x:v>
      </x:c>
      <x:c r="C185" s="99" t="str">
        <x:v>Datenschutz – Abschnitte 1–7</x:v>
      </x:c>
      <x:c r="D185" s="99" t="n">
        <x:v>96</x:v>
      </x:c>
      <x:c r="E185" s="99" t="n">
        <x:v>95</x:v>
      </x:c>
      <x:c r="F185" s="99" t="n">
        <x:v>97</x:v>
      </x:c>
      <x:c r="G185" s="99" t="n">
        <x:v>95</x:v>
      </x:c>
      <x:c r="H185" s="99" t="n">
        <x:v>95</x:v>
      </x:c>
      <x:c r="I185" s="99" t="n">
        <x:f>ROUND(AVERAGE(D185:H185),1)</x:f>
        <x:v>95.6</x:v>
      </x:c>
      <x:c r="J185" s="99" t="str">
        <x:v>Eigene vollständige französische Datenschutzseite aktiv; Browserprüfung ohne deutsche Laufzeitfunde.</x:v>
      </x:c>
    </x:row>
    <x:row r="186" ht="21.600000381469727" hidden="0" customHeight="1">
      <x:c r="A186" s="97" t="str">
        <x:v>Dänisch (da-DK)</x:v>
      </x:c>
      <x:c r="B186" s="97" t="str">
        <x:v>P26A</x:v>
      </x:c>
      <x:c r="C186" s="97" t="str">
        <x:v>Datenschutz – Abschnitte 1–7</x:v>
      </x:c>
      <x:c r="D186" s="97" t="n">
        <x:v>96.2</x:v>
      </x:c>
      <x:c r="E186" s="97" t="n">
        <x:v>78.2</x:v>
      </x:c>
      <x:c r="F186" s="97" t="n">
        <x:v>87.2</x:v>
      </x:c>
      <x:c r="G186" s="97" t="n">
        <x:v>67.2</x:v>
      </x:c>
      <x:c r="H186" s="97" t="n">
        <x:v>84.2</x:v>
      </x:c>
      <x:c r="I186" s="97" t="n">
        <x:f>ROUND(AVERAGE(D186:H186),1)</x:f>
        <x:v>82.6</x:v>
      </x:c>
      <x:c r="J186" s="97" t="str">
        <x:v>Rechtsterminologie, Zitatkonventionen und wiederverwendete Markenhinweise wurden gezielt bereinigt; weitere Rechtsfachprüfung bleibt separat.</x:v>
      </x:c>
    </x:row>
    <x:row r="187" ht="21.600000381469727" hidden="0" customHeight="1">
      <x:c r="A187" s="99" t="str">
        <x:v>Spanisch (es-ES)</x:v>
      </x:c>
      <x:c r="B187" s="99" t="str">
        <x:v>P26A</x:v>
      </x:c>
      <x:c r="C187" s="99" t="str">
        <x:v>Datenschutz – Abschnitte 1–7</x:v>
      </x:c>
      <x:c r="D187" s="99" t="n">
        <x:v>96.2</x:v>
      </x:c>
      <x:c r="E187" s="99" t="n">
        <x:v>78.2</x:v>
      </x:c>
      <x:c r="F187" s="99" t="n">
        <x:v>87.2</x:v>
      </x:c>
      <x:c r="G187" s="99" t="n">
        <x:v>67.2</x:v>
      </x:c>
      <x:c r="H187" s="99" t="n">
        <x:v>84.2</x:v>
      </x:c>
      <x:c r="I187" s="99" t="n">
        <x:f>ROUND(AVERAGE(D187:H187),1)</x:f>
        <x:v>82.6</x:v>
      </x:c>
      <x:c r="J187" s="99" t="str">
        <x:v>Rechtsterminologie, Zitatkonventionen und wiederverwendete Markenhinweise wurden gezielt bereinigt; weitere Rechtsfachprüfung bleibt separat.</x:v>
      </x:c>
    </x:row>
    <x:row r="188" ht="21.600000381469727" hidden="0" customHeight="1">
      <x:c r="A188" s="97" t="str">
        <x:v>Niederländisch (nl-NL)</x:v>
      </x:c>
      <x:c r="B188" s="97" t="str">
        <x:v>P26A</x:v>
      </x:c>
      <x:c r="C188" s="97" t="str">
        <x:v>Datenschutz – Abschnitte 1–7</x:v>
      </x:c>
      <x:c r="D188" s="97" t="n">
        <x:v>96.2</x:v>
      </x:c>
      <x:c r="E188" s="97" t="n">
        <x:v>78.2</x:v>
      </x:c>
      <x:c r="F188" s="97" t="n">
        <x:v>87.2</x:v>
      </x:c>
      <x:c r="G188" s="97" t="n">
        <x:v>67.2</x:v>
      </x:c>
      <x:c r="H188" s="97" t="n">
        <x:v>84.2</x:v>
      </x:c>
      <x:c r="I188" s="97" t="n">
        <x:f>ROUND(AVERAGE(D188:H188),1)</x:f>
        <x:v>82.6</x:v>
      </x:c>
      <x:c r="J188" s="97" t="str">
        <x:v>Rechtsterminologie, Zitatkonventionen und wiederverwendete Markenhinweise wurden gezielt bereinigt; weitere Rechtsfachprüfung bleibt separat.</x:v>
      </x:c>
    </x:row>
    <x:row r="189" ht="21.600000381469727" hidden="0" customHeight="1">
      <x:c r="A189" s="99" t="str">
        <x:v>Norwegisch Bokmål (nb-NO)</x:v>
      </x:c>
      <x:c r="B189" s="99" t="str">
        <x:v>P26A</x:v>
      </x:c>
      <x:c r="C189" s="99" t="str">
        <x:v>Datenschutz – Abschnitte 1–7</x:v>
      </x:c>
      <x:c r="D189" s="99" t="n">
        <x:v>96.2</x:v>
      </x:c>
      <x:c r="E189" s="99" t="n">
        <x:v>78.2</x:v>
      </x:c>
      <x:c r="F189" s="99" t="n">
        <x:v>87.2</x:v>
      </x:c>
      <x:c r="G189" s="99" t="n">
        <x:v>67.2</x:v>
      </x:c>
      <x:c r="H189" s="99" t="n">
        <x:v>84.2</x:v>
      </x:c>
      <x:c r="I189" s="99" t="n">
        <x:f>ROUND(AVERAGE(D189:H189),1)</x:f>
        <x:v>82.6</x:v>
      </x:c>
      <x:c r="J189" s="99" t="str">
        <x:v>Rechtsterminologie, Zitatkonventionen und wiederverwendete Markenhinweise wurden gezielt bereinigt; weitere Rechtsfachprüfung bleibt separat.</x:v>
      </x:c>
    </x:row>
    <x:row r="190" ht="21.600000381469727" hidden="0" customHeight="1">
      <x:c r="A190" s="97" t="str">
        <x:v>Schwedisch (sv-SE)</x:v>
      </x:c>
      <x:c r="B190" s="97" t="str">
        <x:v>P26A</x:v>
      </x:c>
      <x:c r="C190" s="97" t="str">
        <x:v>Datenschutz – Abschnitte 1–7</x:v>
      </x:c>
      <x:c r="D190" s="97" t="n">
        <x:v>96.2</x:v>
      </x:c>
      <x:c r="E190" s="97" t="n">
        <x:v>78.2</x:v>
      </x:c>
      <x:c r="F190" s="97" t="n">
        <x:v>87.2</x:v>
      </x:c>
      <x:c r="G190" s="97" t="n">
        <x:v>67.2</x:v>
      </x:c>
      <x:c r="H190" s="97" t="n">
        <x:v>84.2</x:v>
      </x:c>
      <x:c r="I190" s="97" t="n">
        <x:f>ROUND(AVERAGE(D190:H190),1)</x:f>
        <x:v>82.6</x:v>
      </x:c>
      <x:c r="J190" s="97" t="str">
        <x:v>Rechtsterminologie, Zitatkonventionen und wiederverwendete Markenhinweise wurden gezielt bereinigt; weitere Rechtsfachprüfung bleibt separat.</x:v>
      </x:c>
    </x:row>
    <x:row r="191" ht="21.600000381469727" hidden="0" customHeight="1">
      <x:c r="A191" s="99" t="str">
        <x:v>Englisch (en)</x:v>
      </x:c>
      <x:c r="B191" s="99" t="str">
        <x:v>P26B</x:v>
      </x:c>
      <x:c r="C191" s="99" t="str">
        <x:v>Datenschutz – Abschnitte 8–14</x:v>
      </x:c>
      <x:c r="D191" s="99" t="n">
        <x:v>98</x:v>
      </x:c>
      <x:c r="E191" s="99" t="n">
        <x:v>97</x:v>
      </x:c>
      <x:c r="F191" s="99" t="n">
        <x:v>98</x:v>
      </x:c>
      <x:c r="G191" s="99" t="n">
        <x:v>97</x:v>
      </x:c>
      <x:c r="H191" s="99" t="n">
        <x:v>97</x:v>
      </x:c>
      <x:c r="I191" s="99" t="n">
        <x:f>ROUND(AVERAGE(D191:H191),1)</x:f>
        <x:v>97.4</x:v>
      </x:c>
      <x:c r="J191" s="99" t="str">
        <x:v>Französische Datenschutzrechte und Hosting-/DNS-Abschnitte aktiv; Legal Review bleibt erforderlich.</x:v>
      </x:c>
    </x:row>
    <x:row r="192" ht="21.600000381469727" hidden="0" customHeight="1">
      <x:c r="A192" s="97" t="str">
        <x:v>Französisch (fr-FR)</x:v>
      </x:c>
      <x:c r="B192" s="97" t="str">
        <x:v>P26B</x:v>
      </x:c>
      <x:c r="C192" s="97" t="str">
        <x:v>Datenschutz – Abschnitte 8–14</x:v>
      </x:c>
      <x:c r="D192" s="97" t="n">
        <x:v>96</x:v>
      </x:c>
      <x:c r="E192" s="97" t="n">
        <x:v>95</x:v>
      </x:c>
      <x:c r="F192" s="97" t="n">
        <x:v>97</x:v>
      </x:c>
      <x:c r="G192" s="97" t="n">
        <x:v>95</x:v>
      </x:c>
      <x:c r="H192" s="97" t="n">
        <x:v>95</x:v>
      </x:c>
      <x:c r="I192" s="97" t="n">
        <x:f>ROUND(AVERAGE(D192:H192),1)</x:f>
        <x:v>95.6</x:v>
      </x:c>
      <x:c r="J192" s="97" t="str">
        <x:v>Französische Datenschutzrechte und Hosting-/DNS-Abschnitte aktiv; Legal Review bleibt erforderlich.</x:v>
      </x:c>
    </x:row>
    <x:row r="193" ht="15" hidden="0" customHeight="1">
      <x:c r="A193" s="99" t="str">
        <x:v>Dänisch (da-DK)</x:v>
      </x:c>
      <x:c r="B193" s="99" t="str">
        <x:v>P26B</x:v>
      </x:c>
      <x:c r="C193" s="99" t="str">
        <x:v>Datenschutz – Abschnitte 8–14</x:v>
      </x:c>
      <x:c r="D193" s="99" t="n">
        <x:v>95.2</x:v>
      </x:c>
      <x:c r="E193" s="99" t="n">
        <x:v>77.2</x:v>
      </x:c>
      <x:c r="F193" s="99" t="n">
        <x:v>86.2</x:v>
      </x:c>
      <x:c r="G193" s="99" t="n">
        <x:v>64.2</x:v>
      </x:c>
      <x:c r="H193" s="99" t="n">
        <x:v>83.2</x:v>
      </x:c>
      <x:c r="I193" s="99" t="n">
        <x:f>ROUND(AVERAGE(D193:H193),1)</x:f>
        <x:v>81.2</x:v>
      </x:c>
      <x:c r="J193" s="99" t="str">
        <x:v>Rechtsterminologie, Zitatkonventionen und wiederverwendete Markenhinweise wurden gezielt bereinigt; weitere Rechtsfachprüfung bleibt separat.</x:v>
      </x:c>
    </x:row>
    <x:row r="194" ht="15" hidden="0" customHeight="1">
      <x:c r="A194" s="97" t="str">
        <x:v>Spanisch (es-ES)</x:v>
      </x:c>
      <x:c r="B194" s="97" t="str">
        <x:v>P26B</x:v>
      </x:c>
      <x:c r="C194" s="97" t="str">
        <x:v>Datenschutz – Abschnitte 8–14</x:v>
      </x:c>
      <x:c r="D194" s="97" t="n">
        <x:v>95.2</x:v>
      </x:c>
      <x:c r="E194" s="97" t="n">
        <x:v>77.2</x:v>
      </x:c>
      <x:c r="F194" s="97" t="n">
        <x:v>86.2</x:v>
      </x:c>
      <x:c r="G194" s="97" t="n">
        <x:v>64.2</x:v>
      </x:c>
      <x:c r="H194" s="97" t="n">
        <x:v>83.2</x:v>
      </x:c>
      <x:c r="I194" s="97" t="n">
        <x:f>ROUND(AVERAGE(D194:H194),1)</x:f>
        <x:v>81.2</x:v>
      </x:c>
      <x:c r="J194" s="97" t="str">
        <x:v>Rechtsterminologie, Zitatkonventionen und wiederverwendete Markenhinweise wurden gezielt bereinigt; weitere Rechtsfachprüfung bleibt separat.</x:v>
      </x:c>
    </x:row>
    <x:row r="195" ht="15" hidden="0" customHeight="1">
      <x:c r="A195" s="99" t="str">
        <x:v>Niederländisch (nl-NL)</x:v>
      </x:c>
      <x:c r="B195" s="99" t="str">
        <x:v>P26B</x:v>
      </x:c>
      <x:c r="C195" s="99" t="str">
        <x:v>Datenschutz – Abschnitte 8–14</x:v>
      </x:c>
      <x:c r="D195" s="99" t="n">
        <x:v>95.2</x:v>
      </x:c>
      <x:c r="E195" s="99" t="n">
        <x:v>77.2</x:v>
      </x:c>
      <x:c r="F195" s="99" t="n">
        <x:v>86.2</x:v>
      </x:c>
      <x:c r="G195" s="99" t="n">
        <x:v>64.2</x:v>
      </x:c>
      <x:c r="H195" s="99" t="n">
        <x:v>83.2</x:v>
      </x:c>
      <x:c r="I195" s="99" t="n">
        <x:f>ROUND(AVERAGE(D195:H195),1)</x:f>
        <x:v>81.2</x:v>
      </x:c>
      <x:c r="J195" s="99" t="str">
        <x:v>Rechtsterminologie, Zitatkonventionen und wiederverwendete Markenhinweise wurden gezielt bereinigt; weitere Rechtsfachprüfung bleibt separat.</x:v>
      </x:c>
    </x:row>
    <x:row r="196" ht="15" hidden="0" customHeight="1">
      <x:c r="A196" s="97" t="str">
        <x:v>Norwegisch Bokmål (nb-NO)</x:v>
      </x:c>
      <x:c r="B196" s="97" t="str">
        <x:v>P26B</x:v>
      </x:c>
      <x:c r="C196" s="97" t="str">
        <x:v>Datenschutz – Abschnitte 8–14</x:v>
      </x:c>
      <x:c r="D196" s="97" t="n">
        <x:v>95.2</x:v>
      </x:c>
      <x:c r="E196" s="97" t="n">
        <x:v>77.2</x:v>
      </x:c>
      <x:c r="F196" s="97" t="n">
        <x:v>86.2</x:v>
      </x:c>
      <x:c r="G196" s="97" t="n">
        <x:v>64.2</x:v>
      </x:c>
      <x:c r="H196" s="97" t="n">
        <x:v>83.2</x:v>
      </x:c>
      <x:c r="I196" s="97" t="n">
        <x:f>ROUND(AVERAGE(D196:H196),1)</x:f>
        <x:v>81.2</x:v>
      </x:c>
      <x:c r="J196" s="97" t="str">
        <x:v>Rechtsterminologie, Zitatkonventionen und wiederverwendete Markenhinweise wurden gezielt bereinigt; weitere Rechtsfachprüfung bleibt separat.</x:v>
      </x:c>
    </x:row>
    <x:row r="197" ht="15" hidden="0" customHeight="1">
      <x:c r="A197" s="99" t="str">
        <x:v>Schwedisch (sv-SE)</x:v>
      </x:c>
      <x:c r="B197" s="99" t="str">
        <x:v>P26B</x:v>
      </x:c>
      <x:c r="C197" s="99" t="str">
        <x:v>Datenschutz – Abschnitte 8–14</x:v>
      </x:c>
      <x:c r="D197" s="99" t="n">
        <x:v>95.2</x:v>
      </x:c>
      <x:c r="E197" s="99" t="n">
        <x:v>77.2</x:v>
      </x:c>
      <x:c r="F197" s="99" t="n">
        <x:v>86.2</x:v>
      </x:c>
      <x:c r="G197" s="99" t="n">
        <x:v>64.2</x:v>
      </x:c>
      <x:c r="H197" s="99" t="n">
        <x:v>83.2</x:v>
      </x:c>
      <x:c r="I197" s="99" t="n">
        <x:f>ROUND(AVERAGE(D197:H197),1)</x:f>
        <x:v>81.2</x:v>
      </x:c>
      <x:c r="J197" s="99" t="str">
        <x:v>Rechtsterminologie, Zitatkonventionen und wiederverwendete Markenhinweise wurden gezielt bereinigt; weitere Rechtsfachprüfung bleibt separat.</x:v>
      </x:c>
    </x:row>
    <x:row r="198" ht="21.600000381469727" hidden="0" customHeight="1">
      <x:c r="A198" s="97" t="str">
        <x:v>Englisch (en)</x:v>
      </x:c>
      <x:c r="B198" s="97" t="str">
        <x:v>P27</x:v>
      </x:c>
      <x:c r="C198" s="97" t="str">
        <x:v>Cross-Page SEO &amp; Accessibility Strings</x:v>
      </x:c>
      <x:c r="D198" s="97" t="n">
        <x:v>84</x:v>
      </x:c>
      <x:c r="E198" s="97" t="n">
        <x:v>88</x:v>
      </x:c>
      <x:c r="F198" s="97" t="n">
        <x:v>92</x:v>
      </x:c>
      <x:c r="G198" s="97" t="n">
        <x:v>90</x:v>
      </x:c>
      <x:c r="H198" s="97" t="n">
        <x:v>84</x:v>
      </x:c>
      <x:c r="I198" s="97" t="n">
        <x:f>ROUND(AVERAGE(D198:H198),1)</x:f>
        <x:v>87.6</x:v>
      </x:c>
      <x:c r="J198" s="97" t="str">
        <x:v>Größte Metadaten-/Accessibility-Lücken geschlossen; ein reduzierter Restumfang bleibt zu verifizieren.</x:v>
      </x:c>
    </x:row>
    <x:row r="199" ht="21.600000381469727" hidden="0" customHeight="1">
      <x:c r="A199" s="99" t="str">
        <x:v>Französisch (fr-FR)</x:v>
      </x:c>
      <x:c r="B199" s="99" t="str">
        <x:v>P27</x:v>
      </x:c>
      <x:c r="C199" s="99" t="str">
        <x:v>Cross-Page SEO &amp; Accessibility Strings</x:v>
      </x:c>
      <x:c r="D199" s="99" t="n">
        <x:v>84</x:v>
      </x:c>
      <x:c r="E199" s="99" t="n">
        <x:v>88</x:v>
      </x:c>
      <x:c r="F199" s="99" t="n">
        <x:v>92</x:v>
      </x:c>
      <x:c r="G199" s="99" t="n">
        <x:v>90</x:v>
      </x:c>
      <x:c r="H199" s="99" t="n">
        <x:v>84</x:v>
      </x:c>
      <x:c r="I199" s="99" t="n">
        <x:f>ROUND(AVERAGE(D199:H199),1)</x:f>
        <x:v>87.6</x:v>
      </x:c>
      <x:c r="J199" s="99" t="str">
        <x:v>Größte Metadaten-/Accessibility-Lücken geschlossen; ein reduzierter Restumfang bleibt zu verifizieren.</x:v>
      </x:c>
    </x:row>
    <x:row r="200" ht="15" hidden="0" customHeight="1">
      <x:c r="A200" s="97" t="str">
        <x:v>Dänisch (da-DK)</x:v>
      </x:c>
      <x:c r="B200" s="97" t="str">
        <x:v>P27</x:v>
      </x:c>
      <x:c r="C200" s="97" t="str">
        <x:v>Cross-Page SEO &amp; Accessibility Strings</x:v>
      </x:c>
      <x:c r="D200" s="97" t="n">
        <x:v>98.7</x:v>
      </x:c>
      <x:c r="E200" s="97" t="n">
        <x:v>95.7</x:v>
      </x:c>
      <x:c r="F200" s="97" t="n">
        <x:v>98.7</x:v>
      </x:c>
      <x:c r="G200" s="97" t="n">
        <x:v>96.7</x:v>
      </x:c>
      <x:c r="H200" s="97" t="n">
        <x:v>95.7</x:v>
      </x:c>
      <x:c r="I200" s="97" t="n">
        <x:f>ROUND(AVERAGE(D200:H200),1)</x:f>
        <x:v>97.1</x:v>
      </x:c>
      <x:c r="J200" s="97" t="str">
        <x:v>Inhaltlich sehr gut; kleine typografische Inkonsistenz bei Anführungszeichen.</x:v>
      </x:c>
    </x:row>
    <x:row r="201" ht="21.600000381469727" hidden="0" customHeight="1">
      <x:c r="A201" s="99" t="str">
        <x:v>Spanisch (es-ES)</x:v>
      </x:c>
      <x:c r="B201" s="99" t="str">
        <x:v>P27</x:v>
      </x:c>
      <x:c r="C201" s="99" t="str">
        <x:v>Cross-Page SEO &amp; Accessibility Strings</x:v>
      </x:c>
      <x:c r="D201" s="99" t="n">
        <x:v>98.7</x:v>
      </x:c>
      <x:c r="E201" s="99" t="n">
        <x:v>96.7</x:v>
      </x:c>
      <x:c r="F201" s="99" t="n">
        <x:v>98.7</x:v>
      </x:c>
      <x:c r="G201" s="99" t="n">
        <x:v>97.7</x:v>
      </x:c>
      <x:c r="H201" s="99" t="n">
        <x:v>96.7</x:v>
      </x:c>
      <x:c r="I201" s="99" t="n">
        <x:f>ROUND(AVERAGE(D201:H201),1)</x:f>
        <x:v>97.7</x:v>
      </x:c>
      <x:c r="J201" s="99" t="str">
        <x:v>Sehr gute bis praktisch muttersprachliche Übersetzungsqualität; keine relevanten Einzelprobleme im geprüften Paket.</x:v>
      </x:c>
    </x:row>
    <x:row r="202" ht="21.600000381469727" hidden="0" customHeight="1">
      <x:c r="A202" s="97" t="str">
        <x:v>Niederländisch (nl-NL)</x:v>
      </x:c>
      <x:c r="B202" s="97" t="str">
        <x:v>P27</x:v>
      </x:c>
      <x:c r="C202" s="97" t="str">
        <x:v>Cross-Page SEO &amp; Accessibility Strings</x:v>
      </x:c>
      <x:c r="D202" s="97" t="n">
        <x:v>98.7</x:v>
      </x:c>
      <x:c r="E202" s="97" t="n">
        <x:v>96.7</x:v>
      </x:c>
      <x:c r="F202" s="97" t="n">
        <x:v>98.7</x:v>
      </x:c>
      <x:c r="G202" s="97" t="n">
        <x:v>97.7</x:v>
      </x:c>
      <x:c r="H202" s="97" t="n">
        <x:v>96.7</x:v>
      </x:c>
      <x:c r="I202" s="97" t="n">
        <x:f>ROUND(AVERAGE(D202:H202),1)</x:f>
        <x:v>97.7</x:v>
      </x:c>
      <x:c r="J202" s="97" t="str">
        <x:v>Sehr gute bis praktisch muttersprachliche Übersetzungsqualität; keine relevanten Einzelprobleme im geprüften Paket.</x:v>
      </x:c>
    </x:row>
    <x:row r="203" ht="21.600000381469727" hidden="0" customHeight="1">
      <x:c r="A203" s="99" t="str">
        <x:v>Norwegisch Bokmål (nb-NO)</x:v>
      </x:c>
      <x:c r="B203" s="99" t="str">
        <x:v>P27</x:v>
      </x:c>
      <x:c r="C203" s="99" t="str">
        <x:v>Cross-Page SEO &amp; Accessibility Strings</x:v>
      </x:c>
      <x:c r="D203" s="99" t="n">
        <x:v>98.7</x:v>
      </x:c>
      <x:c r="E203" s="99" t="n">
        <x:v>96.7</x:v>
      </x:c>
      <x:c r="F203" s="99" t="n">
        <x:v>98.7</x:v>
      </x:c>
      <x:c r="G203" s="99" t="n">
        <x:v>97.7</x:v>
      </x:c>
      <x:c r="H203" s="99" t="n">
        <x:v>96.7</x:v>
      </x:c>
      <x:c r="I203" s="99" t="n">
        <x:f>ROUND(AVERAGE(D203:H203),1)</x:f>
        <x:v>97.7</x:v>
      </x:c>
      <x:c r="J203" s="99" t="str">
        <x:v>Sehr gute bis praktisch muttersprachliche Übersetzungsqualität; keine relevanten Einzelprobleme im geprüften Paket.</x:v>
      </x:c>
    </x:row>
    <x:row r="204" ht="21.600000381469727" hidden="0" customHeight="1">
      <x:c r="A204" s="97" t="str">
        <x:v>Schwedisch (sv-SE)</x:v>
      </x:c>
      <x:c r="B204" s="97" t="str">
        <x:v>P27</x:v>
      </x:c>
      <x:c r="C204" s="97" t="str">
        <x:v>Cross-Page SEO &amp; Accessibility Strings</x:v>
      </x:c>
      <x:c r="D204" s="97" t="n">
        <x:v>98.7</x:v>
      </x:c>
      <x:c r="E204" s="97" t="n">
        <x:v>96.7</x:v>
      </x:c>
      <x:c r="F204" s="97" t="n">
        <x:v>98.7</x:v>
      </x:c>
      <x:c r="G204" s="97" t="n">
        <x:v>97.7</x:v>
      </x:c>
      <x:c r="H204" s="97" t="n">
        <x:v>96.7</x:v>
      </x:c>
      <x:c r="I204" s="97" t="n">
        <x:f>ROUND(AVERAGE(D204:H204),1)</x:f>
        <x:v>97.7</x:v>
      </x:c>
      <x:c r="J204" s="97" t="str">
        <x:v>Sehr gute bis praktisch muttersprachliche Übersetzungsqualität; keine relevanten Einzelprobleme im geprüften Paket.</x:v>
      </x:c>
    </x:row>
    <x:row r="205" ht="15" hidden="0" customHeight="1">
      <x:c r="A205" s="99" t="str">
        <x:v>Englisch (en)</x:v>
      </x:c>
      <x:c r="B205" s="99" t="str">
        <x:v>P28</x:v>
      </x:c>
      <x:c r="C205" s="99" t="str">
        <x:v>Raster-/Embedded-Text-Audit</x:v>
      </x:c>
      <x:c r="D205" s="99" t="n">
        <x:v>70</x:v>
      </x:c>
      <x:c r="E205" s="99" t="n">
        <x:v>76</x:v>
      </x:c>
      <x:c r="F205" s="99" t="n">
        <x:v>82</x:v>
      </x:c>
      <x:c r="G205" s="99" t="n">
        <x:v>76</x:v>
      </x:c>
      <x:c r="H205" s="99" t="n">
        <x:v>68</x:v>
      </x:c>
      <x:c r="I205" s="99" t="n">
        <x:f>ROUND(AVERAGE(D205:H205),1)</x:f>
        <x:v>74.4</x:v>
      </x:c>
      <x:c r="J205" s="99" t="str">
        <x:v>Runtime-Texte bereinigt; separate lokalisierte Rastervarianten bleiben Produktionsaufgabe.</x:v>
      </x:c>
    </x:row>
    <x:row r="206" ht="15" hidden="0" customHeight="1">
      <x:c r="A206" s="97" t="str">
        <x:v>Französisch (fr-FR)</x:v>
      </x:c>
      <x:c r="B206" s="97" t="str">
        <x:v>P28</x:v>
      </x:c>
      <x:c r="C206" s="97" t="str">
        <x:v>Raster-/Embedded-Text-Audit</x:v>
      </x:c>
      <x:c r="D206" s="97" t="n">
        <x:v>70</x:v>
      </x:c>
      <x:c r="E206" s="97" t="n">
        <x:v>76</x:v>
      </x:c>
      <x:c r="F206" s="97" t="n">
        <x:v>82</x:v>
      </x:c>
      <x:c r="G206" s="97" t="n">
        <x:v>76</x:v>
      </x:c>
      <x:c r="H206" s="97" t="n">
        <x:v>68</x:v>
      </x:c>
      <x:c r="I206" s="97" t="n">
        <x:f>ROUND(AVERAGE(D206:H206),1)</x:f>
        <x:v>74.4</x:v>
      </x:c>
      <x:c r="J206" s="97" t="str">
        <x:v>Runtime-Texte bereinigt; separate lokalisierte Rastervarianten bleiben Produktionsaufgabe.</x:v>
      </x:c>
    </x:row>
    <x:row r="207" ht="21.600000381469727" hidden="0" customHeight="1">
      <x:c r="A207" s="99" t="str">
        <x:v>Dänisch (da-DK)</x:v>
      </x:c>
      <x:c r="B207" s="99" t="str">
        <x:v>P28</x:v>
      </x:c>
      <x:c r="C207" s="99" t="str">
        <x:v>Raster-/Embedded-Text-Audit</x:v>
      </x:c>
      <x:c r="D207" s="99" t="n">
        <x:v>99</x:v>
      </x:c>
      <x:c r="E207" s="99" t="n">
        <x:v>98.7</x:v>
      </x:c>
      <x:c r="F207" s="99" t="n">
        <x:v>99</x:v>
      </x:c>
      <x:c r="G207" s="99" t="n">
        <x:v>98.7</x:v>
      </x:c>
      <x:c r="H207" s="99" t="n">
        <x:v>98.7</x:v>
      </x:c>
      <x:c r="I207" s="99" t="n">
        <x:f>ROUND(AVERAGE(D207:H207),1)</x:f>
        <x:v>98.8</x:v>
      </x:c>
      <x:c r="J207" s="99" t="str">
        <x:v>Sehr gute bis praktisch muttersprachliche Übersetzungsqualität; keine relevanten Einzelprobleme im geprüften Paket.</x:v>
      </x:c>
    </x:row>
    <x:row r="208" ht="21.600000381469727" hidden="0" customHeight="1">
      <x:c r="A208" s="97" t="str">
        <x:v>Spanisch (es-ES)</x:v>
      </x:c>
      <x:c r="B208" s="97" t="str">
        <x:v>P28</x:v>
      </x:c>
      <x:c r="C208" s="97" t="str">
        <x:v>Raster-/Embedded-Text-Audit</x:v>
      </x:c>
      <x:c r="D208" s="97" t="n">
        <x:v>99</x:v>
      </x:c>
      <x:c r="E208" s="97" t="n">
        <x:v>98.7</x:v>
      </x:c>
      <x:c r="F208" s="97" t="n">
        <x:v>99</x:v>
      </x:c>
      <x:c r="G208" s="97" t="n">
        <x:v>98.7</x:v>
      </x:c>
      <x:c r="H208" s="97" t="n">
        <x:v>98.7</x:v>
      </x:c>
      <x:c r="I208" s="97" t="n">
        <x:f>ROUND(AVERAGE(D208:H208),1)</x:f>
        <x:v>98.8</x:v>
      </x:c>
      <x:c r="J208" s="97" t="str">
        <x:v>Sehr gute bis praktisch muttersprachliche Übersetzungsqualität; keine relevanten Einzelprobleme im geprüften Paket.</x:v>
      </x:c>
    </x:row>
    <x:row r="209" ht="21.600000381469727" hidden="0" customHeight="1">
      <x:c r="A209" s="99" t="str">
        <x:v>Niederländisch (nl-NL)</x:v>
      </x:c>
      <x:c r="B209" s="99" t="str">
        <x:v>P28</x:v>
      </x:c>
      <x:c r="C209" s="99" t="str">
        <x:v>Raster-/Embedded-Text-Audit</x:v>
      </x:c>
      <x:c r="D209" s="99" t="n">
        <x:v>99</x:v>
      </x:c>
      <x:c r="E209" s="99" t="n">
        <x:v>98.7</x:v>
      </x:c>
      <x:c r="F209" s="99" t="n">
        <x:v>99</x:v>
      </x:c>
      <x:c r="G209" s="99" t="n">
        <x:v>98.7</x:v>
      </x:c>
      <x:c r="H209" s="99" t="n">
        <x:v>98.7</x:v>
      </x:c>
      <x:c r="I209" s="99" t="n">
        <x:f>ROUND(AVERAGE(D209:H209),1)</x:f>
        <x:v>98.8</x:v>
      </x:c>
      <x:c r="J209" s="99" t="str">
        <x:v>Sehr gute bis praktisch muttersprachliche Übersetzungsqualität; keine relevanten Einzelprobleme im geprüften Paket.</x:v>
      </x:c>
    </x:row>
    <x:row r="210" ht="21.600000381469727" hidden="0" customHeight="1">
      <x:c r="A210" s="97" t="str">
        <x:v>Norwegisch Bokmål (nb-NO)</x:v>
      </x:c>
      <x:c r="B210" s="97" t="str">
        <x:v>P28</x:v>
      </x:c>
      <x:c r="C210" s="97" t="str">
        <x:v>Raster-/Embedded-Text-Audit</x:v>
      </x:c>
      <x:c r="D210" s="97" t="n">
        <x:v>99</x:v>
      </x:c>
      <x:c r="E210" s="97" t="n">
        <x:v>98.7</x:v>
      </x:c>
      <x:c r="F210" s="97" t="n">
        <x:v>99</x:v>
      </x:c>
      <x:c r="G210" s="97" t="n">
        <x:v>98.7</x:v>
      </x:c>
      <x:c r="H210" s="97" t="n">
        <x:v>98.7</x:v>
      </x:c>
      <x:c r="I210" s="97" t="n">
        <x:f>ROUND(AVERAGE(D210:H210),1)</x:f>
        <x:v>98.8</x:v>
      </x:c>
      <x:c r="J210" s="97" t="str">
        <x:v>Sehr gute bis praktisch muttersprachliche Übersetzungsqualität; keine relevanten Einzelprobleme im geprüften Paket.</x:v>
      </x:c>
    </x:row>
    <x:row r="211" ht="21.600000381469727" hidden="0" customHeight="1">
      <x:c r="A211" s="99" t="str">
        <x:v>Schwedisch (sv-SE)</x:v>
      </x:c>
      <x:c r="B211" s="99" t="str">
        <x:v>P28</x:v>
      </x:c>
      <x:c r="C211" s="99" t="str">
        <x:v>Raster-/Embedded-Text-Audit</x:v>
      </x:c>
      <x:c r="D211" s="99" t="n">
        <x:v>99</x:v>
      </x:c>
      <x:c r="E211" s="99" t="n">
        <x:v>98.7</x:v>
      </x:c>
      <x:c r="F211" s="99" t="n">
        <x:v>99</x:v>
      </x:c>
      <x:c r="G211" s="99" t="n">
        <x:v>98.7</x:v>
      </x:c>
      <x:c r="H211" s="99" t="n">
        <x:v>98.7</x:v>
      </x:c>
      <x:c r="I211" s="99" t="n">
        <x:f>ROUND(AVERAGE(D211:H211),1)</x:f>
        <x:v>98.8</x:v>
      </x:c>
      <x:c r="J211" s="99" t="str">
        <x:v>Sehr gute bis praktisch muttersprachliche Übersetzungsqualität; keine relevanten Einzelprobleme im geprüften Paket.</x:v>
      </x:c>
    </x:row>
  </x:sheetData>
  <x:conditionalFormatting sqref="I2:I15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50b31a0ca4540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27" hidden="0" customWidth="1"/>
    <x:col min="4" max="4" width="38" hidden="0" customWidth="1"/>
    <x:col min="5" max="5" width="42" hidden="0" customWidth="1"/>
    <x:col min="6" max="6" width="58" hidden="0" customWidth="1"/>
  </x:cols>
  <x:sheetData>
    <x:row r="1">
      <x:c r="A1" s="76" t="str">
        <x:v>Ausgangssprache</x:v>
      </x:c>
      <x:c r="B1" s="77" t="str">
        <x:v>Ausgangsbegriff</x:v>
      </x:c>
      <x:c r="C1" s="77" t="str">
        <x:v>Zielsprache</x:v>
      </x:c>
      <x:c r="D1" s="77" t="str">
        <x:v>Empfohlene Übersetzung</x:v>
      </x:c>
      <x:c r="E1" s="77" t="str">
        <x:v>Nicht verwenden</x:v>
      </x:c>
      <x:c r="F1" s="78" t="str">
        <x:v>Hinweis</x:v>
      </x:c>
    </x:row>
    <x:row r="2" ht="15" hidden="0" customHeight="1">
      <x:c r="A2" s="97" t="str">
        <x:v>Deutsch</x:v>
      </x:c>
      <x:c r="B2" s="97" t="str">
        <x:v>Ankerwinde</x:v>
      </x:c>
      <x:c r="C2" s="97" t="str">
        <x:v>Englisch (en)</x:v>
      </x:c>
      <x:c r="D2" s="97" t="str">
        <x:v>anchor windlass</x:v>
      </x:c>
      <x:c r="E2" s="97" t="str">
        <x:v>winch, wenn ausdrücklich die Ankerwinde gemeint ist</x:v>
      </x:c>
      <x:c r="F2" s="97" t="str">
        <x:v>Von allgemeiner Winde/Winch trennen.</x:v>
      </x:c>
    </x:row>
    <x:row r="3" ht="15" hidden="0" customHeight="1">
      <x:c r="A3" s="99" t="str">
        <x:v>Deutsch</x:v>
      </x:c>
      <x:c r="B3" s="99" t="str">
        <x:v>Ankerwinde</x:v>
      </x:c>
      <x:c r="C3" s="99" t="str">
        <x:v>Französisch (fr-FR)</x:v>
      </x:c>
      <x:c r="D3" s="99" t="str">
        <x:v>guindeau</x:v>
      </x:c>
      <x:c r="E3" s="99" t="str">
        <x:v>treuil, wenn ausdrücklich die Ankerwinde gemeint ist</x:v>
      </x:c>
      <x:c r="F3" s="99" t="str">
        <x:v>Maritimer Standardbegriff.</x:v>
      </x:c>
    </x:row>
    <x:row r="4" ht="15" hidden="0" customHeight="1">
      <x:c r="A4" s="97" t="str">
        <x:v>Deutsch</x:v>
      </x:c>
      <x:c r="B4" s="97" t="str">
        <x:v>Ankerwinde</x:v>
      </x:c>
      <x:c r="C4" s="97" t="str">
        <x:v>Dänisch (da-DK)</x:v>
      </x:c>
      <x:c r="D4" s="97" t="str">
        <x:v>ankerspil</x:v>
      </x:c>
      <x:c r="E4" s="97" t="str">
        <x:v>wechselnde Synonyme ohne Grund</x:v>
      </x:c>
      <x:c r="F4" s="97" t="str">
        <x:v>Nicht mit allgemeinem „spil“ verwechseln, wenn explizit die Ankerwinde gemeint ist.</x:v>
      </x:c>
    </x:row>
    <x:row r="5" ht="21.600000381469727" hidden="0" customHeight="1">
      <x:c r="A5" s="99" t="str">
        <x:v>Deutsch</x:v>
      </x:c>
      <x:c r="B5" s="99" t="str">
        <x:v>Ankerwinde</x:v>
      </x:c>
      <x:c r="C5" s="99" t="str">
        <x:v>Spanisch (es-ES)</x:v>
      </x:c>
      <x:c r="D5" s="99" t="str">
        <x:v>molinete de ancla</x:v>
      </x:c>
      <x:c r="E5" s="99" t="str">
        <x:v>molinete del ancla (wenn Glossar auf eine Form festgelegt wird)</x:v>
      </x:c>
      <x:c r="F5" s="99" t="str">
        <x:v>Eine Form websiteweit festlegen.</x:v>
      </x:c>
    </x:row>
    <x:row r="6" ht="15" hidden="0" customHeight="1">
      <x:c r="A6" s="97" t="str">
        <x:v>Deutsch</x:v>
      </x:c>
      <x:c r="B6" s="97" t="str">
        <x:v>Ankerwinde</x:v>
      </x:c>
      <x:c r="C6" s="97" t="str">
        <x:v>Niederländisch (nl-NL)</x:v>
      </x:c>
      <x:c r="D6" s="97" t="str">
        <x:v>ankerlier</x:v>
      </x:c>
      <x:c r="E6" s="97" t="str">
        <x:v>lier ohne Präzisierung</x:v>
      </x:c>
      <x:c r="F6" s="97" t="str">
        <x:v>Bei Ankerfunktion präzisieren.</x:v>
      </x:c>
    </x:row>
    <x:row r="7" ht="15" hidden="0" customHeight="1">
      <x:c r="A7" s="99" t="str">
        <x:v>Deutsch</x:v>
      </x:c>
      <x:c r="B7" s="99" t="str">
        <x:v>Ankerwinde</x:v>
      </x:c>
      <x:c r="C7" s="99" t="str">
        <x:v>Norwegisch Bokmål (nb-NO)</x:v>
      </x:c>
      <x:c r="D7" s="99" t="str">
        <x:v>ankervinsj</x:v>
      </x:c>
      <x:c r="E7" s="99" t="str">
        <x:v>vinsj ohne Präzisierung</x:v>
      </x:c>
      <x:c r="F7" s="99" t="str">
        <x:v>Bei Ankerfunktion präzisieren.</x:v>
      </x:c>
    </x:row>
    <x:row r="8" ht="15" hidden="0" customHeight="1">
      <x:c r="A8" s="97" t="str">
        <x:v>Deutsch</x:v>
      </x:c>
      <x:c r="B8" s="97" t="str">
        <x:v>Ankerwinde</x:v>
      </x:c>
      <x:c r="C8" s="97" t="str">
        <x:v>Schwedisch (sv-SE)</x:v>
      </x:c>
      <x:c r="D8" s="97" t="str">
        <x:v>ankarspel</x:v>
      </x:c>
      <x:c r="E8" s="97" t="str">
        <x:v>vinsch ohne Präzisierung</x:v>
      </x:c>
      <x:c r="F8" s="97" t="str">
        <x:v>Bei Ankerfunktion präzisieren.</x:v>
      </x:c>
    </x:row>
    <x:row r="9" ht="15" hidden="0" customHeight="1">
      <x:c r="A9" s="99" t="str">
        <x:v>Deutsch</x:v>
      </x:c>
      <x:c r="B9" s="99" t="str">
        <x:v>Auftragsverarbeitungsvertrag (AVV)</x:v>
      </x:c>
      <x:c r="C9" s="99" t="str">
        <x:v>Englisch (en)</x:v>
      </x:c>
      <x:c r="D9" s="99" t="str">
        <x:v>data processing agreement (DPA)</x:v>
      </x:c>
      <x:c r="E9" s="99" t="str">
        <x:v>AVV / German abbreviation</x:v>
      </x:c>
      <x:c r="F9" s="99" t="str">
        <x:v>Deutsches Kürzel nicht übernehmen.</x:v>
      </x:c>
    </x:row>
    <x:row r="10" ht="15" hidden="0" customHeight="1">
      <x:c r="A10" s="97" t="str">
        <x:v>Deutsch</x:v>
      </x:c>
      <x:c r="B10" s="97" t="str">
        <x:v>Auftragsverarbeitungsvertrag (AVV)</x:v>
      </x:c>
      <x:c r="C10" s="97" t="str">
        <x:v>Französisch (fr-FR)</x:v>
      </x:c>
      <x:c r="D10" s="97" t="str">
        <x:v>contrat de sous-traitance</x:v>
      </x:c>
      <x:c r="E10" s="97" t="str">
        <x:v>AVV / abréviation allemande</x:v>
      </x:c>
      <x:c r="F10" s="97" t="str">
        <x:v>Bei Bedarf Art.-28-RGPD-Kontext ergänzen; juristisch freigeben.</x:v>
      </x:c>
    </x:row>
    <x:row r="11" ht="15" hidden="0" customHeight="1">
      <x:c r="A11" s="99" t="str">
        <x:v>Deutsch</x:v>
      </x:c>
      <x:c r="B11" s="99" t="str">
        <x:v>Auftragsverarbeitungsvertrag (AVV)</x:v>
      </x:c>
      <x:c r="C11" s="99" t="str">
        <x:v>Dänisch (da-DK)</x:v>
      </x:c>
      <x:c r="D11" s="99" t="str">
        <x:v>databehandleraftale</x:v>
      </x:c>
      <x:c r="E11" s="99" t="str">
        <x:v>AVV / tysk forkortelse</x:v>
      </x:c>
      <x:c r="F11" s="99" t="str">
        <x:v>Deutsches Kürzel nicht unkommentiert übernehmen.</x:v>
      </x:c>
    </x:row>
    <x:row r="12" ht="15" hidden="0" customHeight="1">
      <x:c r="A12" s="97" t="str">
        <x:v>Deutsch</x:v>
      </x:c>
      <x:c r="B12" s="97" t="str">
        <x:v>Auftragsverarbeitungsvertrag (AVV)</x:v>
      </x:c>
      <x:c r="C12" s="97" t="str">
        <x:v>Spanisch (es-ES)</x:v>
      </x:c>
      <x:c r="D12" s="97" t="str">
        <x:v>contrato de encargo del tratamiento</x:v>
      </x:c>
      <x:c r="E12" s="97" t="str">
        <x:v>AVV / abreviatura alemana</x:v>
      </x:c>
      <x:c r="F12" s="97" t="str">
        <x:v>Deutsches Kürzel nicht unkommentiert übernehmen.</x:v>
      </x:c>
    </x:row>
    <x:row r="13" ht="15" hidden="0" customHeight="1">
      <x:c r="A13" s="99" t="str">
        <x:v>Deutsch</x:v>
      </x:c>
      <x:c r="B13" s="99" t="str">
        <x:v>Auftragsverarbeitungsvertrag (AVV)</x:v>
      </x:c>
      <x:c r="C13" s="99" t="str">
        <x:v>Niederländisch (nl-NL)</x:v>
      </x:c>
      <x:c r="D13" s="99" t="str">
        <x:v>verwerkersovereenkomst</x:v>
      </x:c>
      <x:c r="E13" s="99" t="str">
        <x:v>AVV / Duitse afkorting</x:v>
      </x:c>
      <x:c r="F13" s="99" t="str">
        <x:v>Deutsches Kürzel nicht unkommentiert übernehmen.</x:v>
      </x:c>
    </x:row>
    <x:row r="14" ht="15" hidden="0" customHeight="1">
      <x:c r="A14" s="97" t="str">
        <x:v>Deutsch</x:v>
      </x:c>
      <x:c r="B14" s="97" t="str">
        <x:v>Auftragsverarbeitungsvertrag (AVV)</x:v>
      </x:c>
      <x:c r="C14" s="97" t="str">
        <x:v>Norwegisch Bokmål (nb-NO)</x:v>
      </x:c>
      <x:c r="D14" s="97" t="str">
        <x:v>databehandleravtale</x:v>
      </x:c>
      <x:c r="E14" s="97" t="str">
        <x:v>AVV / tysk forkortelse</x:v>
      </x:c>
      <x:c r="F14" s="97" t="str">
        <x:v>Deutsches Kürzel nicht unkommentiert übernehmen.</x:v>
      </x:c>
    </x:row>
    <x:row r="15" ht="15" hidden="0" customHeight="1">
      <x:c r="A15" s="99" t="str">
        <x:v>Deutsch</x:v>
      </x:c>
      <x:c r="B15" s="99" t="str">
        <x:v>Auftragsverarbeitungsvertrag (AVV)</x:v>
      </x:c>
      <x:c r="C15" s="99" t="str">
        <x:v>Schwedisch (sv-SE)</x:v>
      </x:c>
      <x:c r="D15" s="99" t="str">
        <x:v>personuppgiftsbiträdesavtal</x:v>
      </x:c>
      <x:c r="E15" s="99" t="str">
        <x:v>AVV / tysk förkortning</x:v>
      </x:c>
      <x:c r="F15" s="99" t="str">
        <x:v>Deutsches Kürzel nicht unkommentiert übernehmen.</x:v>
      </x:c>
    </x:row>
    <x:row r="16" ht="15" hidden="0" customHeight="1">
      <x:c r="A16" s="97" t="str">
        <x:v>Deutsch</x:v>
      </x:c>
      <x:c r="B16" s="97" t="str">
        <x:v>Bugstrahlruder</x:v>
      </x:c>
      <x:c r="C16" s="97" t="str">
        <x:v>Englisch (en)</x:v>
      </x:c>
      <x:c r="D16" s="97" t="str">
        <x:v>bow thruster</x:v>
      </x:c>
      <x:c r="E16" s="97" t="str">
        <x:v>front thruster</x:v>
      </x:c>
      <x:c r="F16" s="97" t="str">
        <x:v>Etablierter maritimer Fachbegriff.</x:v>
      </x:c>
    </x:row>
    <x:row r="17" ht="15" hidden="0" customHeight="1">
      <x:c r="A17" s="99" t="str">
        <x:v>Deutsch</x:v>
      </x:c>
      <x:c r="B17" s="99" t="str">
        <x:v>Bugstrahlruder</x:v>
      </x:c>
      <x:c r="C17" s="99" t="str">
        <x:v>Französisch (fr-FR)</x:v>
      </x:c>
      <x:c r="D17" s="99" t="str">
        <x:v>propulseur d'étrave</x:v>
      </x:c>
      <x:c r="E17" s="99" t="str">
        <x:v>hélice avant</x:v>
      </x:c>
      <x:c r="F17" s="99" t="str">
        <x:v>Websiteweit konsistent verwenden.</x:v>
      </x:c>
    </x:row>
    <x:row r="18" ht="15" hidden="0" customHeight="1">
      <x:c r="A18" s="97" t="str">
        <x:v>Deutsch</x:v>
      </x:c>
      <x:c r="B18" s="97" t="str">
        <x:v>Bugstrahlruder</x:v>
      </x:c>
      <x:c r="C18" s="97" t="str">
        <x:v>Dänisch (da-DK)</x:v>
      </x:c>
      <x:c r="D18" s="97" t="str">
        <x:v>bovthruster</x:v>
      </x:c>
      <x:c r="E18" s="97" t="str">
        <x:v>varierende Umschreibungen</x:v>
      </x:c>
      <x:c r="F18" s="97" t="str">
        <x:v>Durchgängig in Anleitung, FAQ und Konfigurator verwenden.</x:v>
      </x:c>
    </x:row>
    <x:row r="19" ht="15" hidden="0" customHeight="1">
      <x:c r="A19" s="99" t="str">
        <x:v>Deutsch</x:v>
      </x:c>
      <x:c r="B19" s="99" t="str">
        <x:v>Bugstrahlruder</x:v>
      </x:c>
      <x:c r="C19" s="99" t="str">
        <x:v>Spanisch (es-ES)</x:v>
      </x:c>
      <x:c r="D19" s="99" t="str">
        <x:v>propulsor de proa</x:v>
      </x:c>
      <x:c r="E19" s="99" t="str">
        <x:v>propulsor delantero</x:v>
      </x:c>
      <x:c r="F19" s="99" t="str">
        <x:v>Maritimer Standardbegriff.</x:v>
      </x:c>
    </x:row>
    <x:row r="20" ht="15" hidden="0" customHeight="1">
      <x:c r="A20" s="97" t="str">
        <x:v>Deutsch</x:v>
      </x:c>
      <x:c r="B20" s="97" t="str">
        <x:v>Bugstrahlruder</x:v>
      </x:c>
      <x:c r="C20" s="97" t="str">
        <x:v>Niederländisch (nl-NL)</x:v>
      </x:c>
      <x:c r="D20" s="97" t="str">
        <x:v>boegschroef</x:v>
      </x:c>
      <x:c r="E20" s="97" t="str">
        <x:v>bediening van de boeg (wenn das Gerät gemeint ist)</x:v>
      </x:c>
      <x:c r="F20" s="97" t="str">
        <x:v>Gerät und Bedienung terminologisch trennen.</x:v>
      </x:c>
    </x:row>
    <x:row r="21" ht="15" hidden="0" customHeight="1">
      <x:c r="A21" s="99" t="str">
        <x:v>Deutsch</x:v>
      </x:c>
      <x:c r="B21" s="99" t="str">
        <x:v>Bugstrahlruder</x:v>
      </x:c>
      <x:c r="C21" s="99" t="str">
        <x:v>Norwegisch Bokmål (nb-NO)</x:v>
      </x:c>
      <x:c r="D21" s="99" t="str">
        <x:v>baugthruster</x:v>
      </x:c>
      <x:c r="E21" s="99" t="str">
        <x:v>varierende Umschreibungen</x:v>
      </x:c>
      <x:c r="F21" s="99" t="str">
        <x:v>Durchgängig verwenden.</x:v>
      </x:c>
    </x:row>
    <x:row r="22" ht="15" hidden="0" customHeight="1">
      <x:c r="A22" s="97" t="str">
        <x:v>Deutsch</x:v>
      </x:c>
      <x:c r="B22" s="97" t="str">
        <x:v>Bugstrahlruder</x:v>
      </x:c>
      <x:c r="C22" s="97" t="str">
        <x:v>Schwedisch (sv-SE)</x:v>
      </x:c>
      <x:c r="D22" s="97" t="str">
        <x:v>bogpropeller</x:v>
      </x:c>
      <x:c r="E22" s="97" t="str">
        <x:v>varierende Umschreibungen</x:v>
      </x:c>
      <x:c r="F22" s="97" t="str">
        <x:v>Durchgängig verwenden.</x:v>
      </x:c>
    </x:row>
    <x:row r="23" ht="15" hidden="0" customHeight="1">
      <x:c r="A23" s="99" t="str">
        <x:v>Deutsch</x:v>
      </x:c>
      <x:c r="B23" s="99" t="str">
        <x:v>Datenschutz-Grundverordnung (DSGVO)</x:v>
      </x:c>
      <x:c r="C23" s="99" t="str">
        <x:v>Englisch (en)</x:v>
      </x:c>
      <x:c r="D23" s="99" t="str">
        <x:v>General Data Protection Regulation (GDPR)</x:v>
      </x:c>
      <x:c r="E23" s="99" t="str">
        <x:v>DSGVO</x:v>
      </x:c>
      <x:c r="F23" s="99" t="str">
        <x:v>EU-Rechtsakt zielsprachlich benennen.</x:v>
      </x:c>
    </x:row>
    <x:row r="24" ht="21.600000381469727" hidden="0" customHeight="1">
      <x:c r="A24" s="97" t="str">
        <x:v>Deutsch</x:v>
      </x:c>
      <x:c r="B24" s="97" t="str">
        <x:v>Datenschutz-Grundverordnung (DSGVO)</x:v>
      </x:c>
      <x:c r="C24" s="97" t="str">
        <x:v>Französisch (fr-FR)</x:v>
      </x:c>
      <x:c r="D24" s="97" t="str">
        <x:v>Règlement général sur la protection des données (RGPD)</x:v>
      </x:c>
      <x:c r="E24" s="97" t="str">
        <x:v>DSGVO</x:v>
      </x:c>
      <x:c r="F24" s="97" t="str">
        <x:v>Etablierte französische Bezeichnung und Abkürzung.</x:v>
      </x:c>
    </x:row>
    <x:row r="25" ht="15" hidden="0" customHeight="1">
      <x:c r="A25" s="99" t="str">
        <x:v>Deutsch</x:v>
      </x:c>
      <x:c r="B25" s="99" t="str">
        <x:v>Datenschutz-Grundverordnung (DSGVO)</x:v>
      </x:c>
      <x:c r="C25" s="99" t="str">
        <x:v>Dänisch (da-DK)</x:v>
      </x:c>
      <x:c r="D25" s="99" t="str">
        <x:v>databeskyttelsesforordningen (GDPR)</x:v>
      </x:c>
      <x:c r="E25" s="99" t="str">
        <x:v>Datenschutz-Grundverordnung (DSGVO)</x:v>
      </x:c>
      <x:c r="F25" s="99" t="str">
        <x:v>EU-Rechtsakt zielsprachlich benennen.</x:v>
      </x:c>
    </x:row>
    <x:row r="26" ht="15" hidden="0" customHeight="1">
      <x:c r="A26" s="97" t="str">
        <x:v>Deutsch</x:v>
      </x:c>
      <x:c r="B26" s="97" t="str">
        <x:v>Datenschutz-Grundverordnung (DSGVO)</x:v>
      </x:c>
      <x:c r="C26" s="97" t="str">
        <x:v>Spanisch (es-ES)</x:v>
      </x:c>
      <x:c r="D26" s="97" t="str">
        <x:v>Reglamento General de Protección de Datos (RGPD)</x:v>
      </x:c>
      <x:c r="E26" s="97" t="str">
        <x:v>Datenschutz-Grundverordnung (DSGVO)</x:v>
      </x:c>
      <x:c r="F26" s="97" t="str">
        <x:v>Spanisches Standardkürzel RGPD.</x:v>
      </x:c>
    </x:row>
    <x:row r="27" ht="15" hidden="0" customHeight="1">
      <x:c r="A27" s="99" t="str">
        <x:v>Deutsch</x:v>
      </x:c>
      <x:c r="B27" s="99" t="str">
        <x:v>Datenschutz-Grundverordnung (DSGVO)</x:v>
      </x:c>
      <x:c r="C27" s="99" t="str">
        <x:v>Niederländisch (nl-NL)</x:v>
      </x:c>
      <x:c r="D27" s="99" t="str">
        <x:v>Algemene verordening gegevensbescherming (AVG)</x:v>
      </x:c>
      <x:c r="E27" s="99" t="str">
        <x:v>Datenschutz-Grundverordnung (DSGVO)</x:v>
      </x:c>
      <x:c r="F27" s="99" t="str">
        <x:v>Niederländisches Standardkürzel AVG.</x:v>
      </x:c>
    </x:row>
    <x:row r="28" ht="15" hidden="0" customHeight="1">
      <x:c r="A28" s="97" t="str">
        <x:v>Deutsch</x:v>
      </x:c>
      <x:c r="B28" s="97" t="str">
        <x:v>Datenschutz-Grundverordnung (DSGVO)</x:v>
      </x:c>
      <x:c r="C28" s="97" t="str">
        <x:v>Norwegisch Bokmål (nb-NO)</x:v>
      </x:c>
      <x:c r="D28" s="97" t="str">
        <x:v>personvernforordningen (GDPR)</x:v>
      </x:c>
      <x:c r="E28" s="97" t="str">
        <x:v>Datenschutz-Grundverordnung (DSGVO)</x:v>
      </x:c>
      <x:c r="F28" s="97" t="str">
        <x:v>Norwegische Bezeichnung + international verständliches GDPR.</x:v>
      </x:c>
    </x:row>
    <x:row r="29" ht="15" hidden="0" customHeight="1">
      <x:c r="A29" s="99" t="str">
        <x:v>Deutsch</x:v>
      </x:c>
      <x:c r="B29" s="99" t="str">
        <x:v>Datenschutz-Grundverordnung (DSGVO)</x:v>
      </x:c>
      <x:c r="C29" s="99" t="str">
        <x:v>Schwedisch (sv-SE)</x:v>
      </x:c>
      <x:c r="D29" s="99" t="str">
        <x:v>dataskyddsförordningen (GDPR)</x:v>
      </x:c>
      <x:c r="E29" s="99" t="str">
        <x:v>Datenschutz-Grundverordnung (DSGVO)</x:v>
      </x:c>
      <x:c r="F29" s="99" t="str">
        <x:v>Schwedische Bezeichnung + GDPR.</x:v>
      </x:c>
    </x:row>
    <x:row r="30" ht="15" hidden="0" customHeight="1">
      <x:c r="A30" s="97" t="str">
        <x:v>Deutsch</x:v>
      </x:c>
      <x:c r="B30" s="97" t="str">
        <x:v>Einbauservice</x:v>
      </x:c>
      <x:c r="C30" s="97" t="str">
        <x:v>Englisch (en)</x:v>
      </x:c>
      <x:c r="D30" s="97" t="str">
        <x:v>installation service</x:v>
      </x:c>
      <x:c r="E30" s="97" t="str">
        <x:v>installation partner, wenn der Service gemeint ist</x:v>
      </x:c>
      <x:c r="F30" s="97" t="str">
        <x:v>Service von Partner/Händler trennen.</x:v>
      </x:c>
    </x:row>
    <x:row r="31" ht="15" hidden="0" customHeight="1">
      <x:c r="A31" s="99" t="str">
        <x:v>Deutsch</x:v>
      </x:c>
      <x:c r="B31" s="99" t="str">
        <x:v>Einbauservice</x:v>
      </x:c>
      <x:c r="C31" s="99" t="str">
        <x:v>Französisch (fr-FR)</x:v>
      </x:c>
      <x:c r="D31" s="99" t="str">
        <x:v>service d'installation</x:v>
      </x:c>
      <x:c r="E31" s="99" t="str">
        <x:v>partenaire installateur, wenn der Service gemeint ist</x:v>
      </x:c>
      <x:c r="F31" s="99" t="str">
        <x:v>Service von Partner/Händler trennen.</x:v>
      </x:c>
    </x:row>
    <x:row r="32" ht="15" hidden="0" customHeight="1">
      <x:c r="A32" s="97" t="str">
        <x:v>Deutsch</x:v>
      </x:c>
      <x:c r="B32" s="97" t="str">
        <x:v>Einbauservice</x:v>
      </x:c>
      <x:c r="C32" s="97" t="str">
        <x:v>Dänisch (da-DK)</x:v>
      </x:c>
      <x:c r="D32" s="97" t="str">
        <x:v>installationsservice</x:v>
      </x:c>
      <x:c r="E32" s="97" t="str">
        <x:v>monteringsservice ohne Styleguide</x:v>
      </x:c>
      <x:c r="F32" s="97" t="str">
        <x:v>Einheitlich in CTA/FAQ/Konfigurator.</x:v>
      </x:c>
    </x:row>
    <x:row r="33" ht="15" hidden="0" customHeight="1">
      <x:c r="A33" s="99" t="str">
        <x:v>Deutsch</x:v>
      </x:c>
      <x:c r="B33" s="99" t="str">
        <x:v>Einbauservice</x:v>
      </x:c>
      <x:c r="C33" s="99" t="str">
        <x:v>Spanisch (es-ES)</x:v>
      </x:c>
      <x:c r="D33" s="99" t="str">
        <x:v>servicio de instalación</x:v>
      </x:c>
      <x:c r="E33" s="99" t="str">
        <x:v>servicio de montaje ohne definierte Präferenz</x:v>
      </x:c>
      <x:c r="F33" s="99" t="str">
        <x:v>Einheitlich verwenden.</x:v>
      </x:c>
    </x:row>
    <x:row r="34" ht="15" hidden="0" customHeight="1">
      <x:c r="A34" s="97" t="str">
        <x:v>Deutsch</x:v>
      </x:c>
      <x:c r="B34" s="97" t="str">
        <x:v>Einbauservice</x:v>
      </x:c>
      <x:c r="C34" s="97" t="str">
        <x:v>Niederländisch (nl-NL)</x:v>
      </x:c>
      <x:c r="D34" s="97" t="str">
        <x:v>installatieservice</x:v>
      </x:c>
      <x:c r="E34" s="97" t="str">
        <x:v>montageservice ohne definierte Präferenz</x:v>
      </x:c>
      <x:c r="F34" s="97" t="str">
        <x:v>Einheitlich verwenden.</x:v>
      </x:c>
    </x:row>
    <x:row r="35" ht="15" hidden="0" customHeight="1">
      <x:c r="A35" s="99" t="str">
        <x:v>Deutsch</x:v>
      </x:c>
      <x:c r="B35" s="99" t="str">
        <x:v>Einbauservice</x:v>
      </x:c>
      <x:c r="C35" s="99" t="str">
        <x:v>Norwegisch Bokmål (nb-NO)</x:v>
      </x:c>
      <x:c r="D35" s="99" t="str">
        <x:v>installasjonstjeneste</x:v>
      </x:c>
      <x:c r="E35" s="99" t="str">
        <x:v>installasjonsservice ohne definierte Präferenz</x:v>
      </x:c>
      <x:c r="F35" s="99" t="str">
        <x:v>Eine Form festlegen.</x:v>
      </x:c>
    </x:row>
    <x:row r="36" ht="15" hidden="0" customHeight="1">
      <x:c r="A36" s="97" t="str">
        <x:v>Deutsch</x:v>
      </x:c>
      <x:c r="B36" s="97" t="str">
        <x:v>Einbauservice</x:v>
      </x:c>
      <x:c r="C36" s="97" t="str">
        <x:v>Schwedisch (sv-SE)</x:v>
      </x:c>
      <x:c r="D36" s="97" t="str">
        <x:v>installationstjänst</x:v>
      </x:c>
      <x:c r="E36" s="97" t="str">
        <x:v>installationsservice ohne definierte Präferenz</x:v>
      </x:c>
      <x:c r="F36" s="97" t="str">
        <x:v>Eine Form festlegen.</x:v>
      </x:c>
    </x:row>
    <x:row r="37" ht="15" hidden="0" customHeight="1">
      <x:c r="A37" s="99" t="str">
        <x:v>Deutsch</x:v>
      </x:c>
      <x:c r="B37" s="99" t="str">
        <x:v>Händler</x:v>
      </x:c>
      <x:c r="C37" s="99" t="str">
        <x:v>Englisch (en)</x:v>
      </x:c>
      <x:c r="D37" s="99" t="str">
        <x:v>dealer</x:v>
      </x:c>
      <x:c r="E37" s="99" t="str">
        <x:v>retailer/dealer-Mix ohne Kontextregel</x:v>
      </x:c>
      <x:c r="F37" s="99" t="str">
        <x:v>Für Finder und Partnerkontext eine Form festlegen.</x:v>
      </x:c>
    </x:row>
    <x:row r="38" ht="15" hidden="0" customHeight="1">
      <x:c r="A38" s="97" t="str">
        <x:v>Deutsch</x:v>
      </x:c>
      <x:c r="B38" s="97" t="str">
        <x:v>Händler</x:v>
      </x:c>
      <x:c r="C38" s="97" t="str">
        <x:v>Französisch (fr-FR)</x:v>
      </x:c>
      <x:c r="D38" s="97" t="str">
        <x:v>revendeur</x:v>
      </x:c>
      <x:c r="E38" s="97" t="str">
        <x:v>dealer</x:v>
      </x:c>
      <x:c r="F38" s="97" t="str">
        <x:v>Durchgängig verwenden.</x:v>
      </x:c>
    </x:row>
    <x:row r="39" ht="15" hidden="0" customHeight="1">
      <x:c r="A39" s="99" t="str">
        <x:v>Deutsch</x:v>
      </x:c>
      <x:c r="B39" s="99" t="str">
        <x:v>Händler</x:v>
      </x:c>
      <x:c r="C39" s="99" t="str">
        <x:v>Dänisch (da-DK)</x:v>
      </x:c>
      <x:c r="D39" s="99" t="str">
        <x:v>forhandler</x:v>
      </x:c>
      <x:c r="E39" s="99" t="str">
        <x:v>forhandler/dealer-Mix</x:v>
      </x:c>
      <x:c r="F39" s="99" t="str">
        <x:v>Für Händlerfinder und Installation durchgängig.</x:v>
      </x:c>
    </x:row>
    <x:row r="40" ht="15" hidden="0" customHeight="1">
      <x:c r="A40" s="97" t="str">
        <x:v>Deutsch</x:v>
      </x:c>
      <x:c r="B40" s="97" t="str">
        <x:v>Händler</x:v>
      </x:c>
      <x:c r="C40" s="97" t="str">
        <x:v>Spanisch (es-ES)</x:v>
      </x:c>
      <x:c r="D40" s="97" t="str">
        <x:v>distribuidor</x:v>
      </x:c>
      <x:c r="E40" s="97" t="str">
        <x:v>dealer</x:v>
      </x:c>
      <x:c r="F40" s="97" t="str">
        <x:v>Aktueller Website-Stil ist spanisch.</x:v>
      </x:c>
    </x:row>
    <x:row r="41" ht="15" hidden="0" customHeight="1">
      <x:c r="A41" s="99" t="str">
        <x:v>Deutsch</x:v>
      </x:c>
      <x:c r="B41" s="99" t="str">
        <x:v>Händler</x:v>
      </x:c>
      <x:c r="C41" s="99" t="str">
        <x:v>Niederländisch (nl-NL)</x:v>
      </x:c>
      <x:c r="D41" s="99" t="str">
        <x:v>dealer</x:v>
      </x:c>
      <x:c r="E41" s="99" t="str">
        <x:v>verkoper/handelaar im selben UX-Kontext</x:v>
      </x:c>
      <x:c r="F41" s="99" t="str">
        <x:v>Im Händlerfinder bereits etabliert.</x:v>
      </x:c>
    </x:row>
    <x:row r="42" ht="15" hidden="0" customHeight="1">
      <x:c r="A42" s="97" t="str">
        <x:v>Deutsch</x:v>
      </x:c>
      <x:c r="B42" s="97" t="str">
        <x:v>Händler</x:v>
      </x:c>
      <x:c r="C42" s="97" t="str">
        <x:v>Norwegisch Bokmål (nb-NO)</x:v>
      </x:c>
      <x:c r="D42" s="97" t="str">
        <x:v>forhandler</x:v>
      </x:c>
      <x:c r="E42" s="97" t="str">
        <x:v>dealer</x:v>
      </x:c>
      <x:c r="F42" s="97" t="str">
        <x:v>Durchgängig verwenden.</x:v>
      </x:c>
    </x:row>
    <x:row r="43" ht="15" hidden="0" customHeight="1">
      <x:c r="A43" s="99" t="str">
        <x:v>Deutsch</x:v>
      </x:c>
      <x:c r="B43" s="99" t="str">
        <x:v>Händler</x:v>
      </x:c>
      <x:c r="C43" s="99" t="str">
        <x:v>Schwedisch (sv-SE)</x:v>
      </x:c>
      <x:c r="D43" s="99" t="str">
        <x:v>återförsäljare</x:v>
      </x:c>
      <x:c r="E43" s="99" t="str">
        <x:v>dealer</x:v>
      </x:c>
      <x:c r="F43" s="99" t="str">
        <x:v>Durchgängig verwenden.</x:v>
      </x:c>
    </x:row>
    <x:row r="44" ht="15" hidden="0" customHeight="1">
      <x:c r="A44" s="97" t="str">
        <x:v>Deutsch</x:v>
      </x:c>
      <x:c r="B44" s="97" t="str">
        <x:v>Heckstrahlruder</x:v>
      </x:c>
      <x:c r="C44" s="97" t="str">
        <x:v>Englisch (en)</x:v>
      </x:c>
      <x:c r="D44" s="97" t="str">
        <x:v>stern thruster</x:v>
      </x:c>
      <x:c r="E44" s="97" t="str">
        <x:v>rear thruster / stern area</x:v>
      </x:c>
      <x:c r="F44" s="97" t="str">
        <x:v>Gerät eindeutig vom Heckbereich trennen.</x:v>
      </x:c>
    </x:row>
    <x:row r="45" ht="15" hidden="0" customHeight="1">
      <x:c r="A45" s="99" t="str">
        <x:v>Deutsch</x:v>
      </x:c>
      <x:c r="B45" s="99" t="str">
        <x:v>Heckstrahlruder</x:v>
      </x:c>
      <x:c r="C45" s="99" t="str">
        <x:v>Französisch (fr-FR)</x:v>
      </x:c>
      <x:c r="D45" s="99" t="str">
        <x:v>propulseur de poupe</x:v>
      </x:c>
      <x:c r="E45" s="99" t="str">
        <x:v>hélice arrière</x:v>
      </x:c>
      <x:c r="F45" s="99" t="str">
        <x:v>Websiteweit konsistent verwenden.</x:v>
      </x:c>
    </x:row>
    <x:row r="46" ht="15" hidden="0" customHeight="1">
      <x:c r="A46" s="97" t="str">
        <x:v>Deutsch</x:v>
      </x:c>
      <x:c r="B46" s="97" t="str">
        <x:v>Heckstrahlruder</x:v>
      </x:c>
      <x:c r="C46" s="97" t="str">
        <x:v>Dänisch (da-DK)</x:v>
      </x:c>
      <x:c r="D46" s="97" t="str">
        <x:v>hækthruster</x:v>
      </x:c>
      <x:c r="E46" s="97" t="str">
        <x:v>varierende Umschreibungen</x:v>
      </x:c>
      <x:c r="F46" s="97" t="str">
        <x:v>Durchgängig verwenden.</x:v>
      </x:c>
    </x:row>
    <x:row r="47" ht="15" hidden="0" customHeight="1">
      <x:c r="A47" s="99" t="str">
        <x:v>Deutsch</x:v>
      </x:c>
      <x:c r="B47" s="99" t="str">
        <x:v>Heckstrahlruder</x:v>
      </x:c>
      <x:c r="C47" s="99" t="str">
        <x:v>Spanisch (es-ES)</x:v>
      </x:c>
      <x:c r="D47" s="99" t="str">
        <x:v>propulsor de popa</x:v>
      </x:c>
      <x:c r="E47" s="99" t="str">
        <x:v>propulsor trasero</x:v>
      </x:c>
      <x:c r="F47" s="99" t="str">
        <x:v>Maritimer Standardbegriff.</x:v>
      </x:c>
    </x:row>
    <x:row r="48" ht="15" hidden="0" customHeight="1">
      <x:c r="A48" s="97" t="str">
        <x:v>Deutsch</x:v>
      </x:c>
      <x:c r="B48" s="97" t="str">
        <x:v>Heckstrahlruder</x:v>
      </x:c>
      <x:c r="C48" s="97" t="str">
        <x:v>Niederländisch (nl-NL)</x:v>
      </x:c>
      <x:c r="D48" s="97" t="str">
        <x:v>hekschroef</x:v>
      </x:c>
      <x:c r="E48" s="97" t="str">
        <x:v>achterschip, wenn das Heckstrahlruder gemeint ist</x:v>
      </x:c>
      <x:c r="F48" s="97" t="str">
        <x:v>Besonders sicherheitsrelevant in Installationshinweisen.</x:v>
      </x:c>
    </x:row>
    <x:row r="49" ht="15" hidden="0" customHeight="1">
      <x:c r="A49" s="99" t="str">
        <x:v>Deutsch</x:v>
      </x:c>
      <x:c r="B49" s="99" t="str">
        <x:v>Heckstrahlruder</x:v>
      </x:c>
      <x:c r="C49" s="99" t="str">
        <x:v>Norwegisch Bokmål (nb-NO)</x:v>
      </x:c>
      <x:c r="D49" s="99" t="str">
        <x:v>hekkthruster</x:v>
      </x:c>
      <x:c r="E49" s="99" t="str">
        <x:v>varierende Umschreibungen</x:v>
      </x:c>
      <x:c r="F49" s="99" t="str">
        <x:v>Durchgängig verwenden.</x:v>
      </x:c>
    </x:row>
    <x:row r="50" ht="15" hidden="0" customHeight="1">
      <x:c r="A50" s="97" t="str">
        <x:v>Deutsch</x:v>
      </x:c>
      <x:c r="B50" s="97" t="str">
        <x:v>Heckstrahlruder</x:v>
      </x:c>
      <x:c r="C50" s="97" t="str">
        <x:v>Schwedisch (sv-SE)</x:v>
      </x:c>
      <x:c r="D50" s="97" t="str">
        <x:v>akterpropeller</x:v>
      </x:c>
      <x:c r="E50" s="97" t="str">
        <x:v>varierende Umschreibungen</x:v>
      </x:c>
      <x:c r="F50" s="97" t="str">
        <x:v>Durchgängig verwenden.</x:v>
      </x:c>
    </x:row>
    <x:row r="51" ht="15" hidden="0" customHeight="1">
      <x:c r="A51" s="99" t="str">
        <x:v>Deutsch</x:v>
      </x:c>
      <x:c r="B51" s="99" t="str">
        <x:v>Konfigurator</x:v>
      </x:c>
      <x:c r="C51" s="99" t="str">
        <x:v>Englisch (en)</x:v>
      </x:c>
      <x:c r="D51" s="99" t="str">
        <x:v>configurator</x:v>
      </x:c>
      <x:c r="E51" s="99" t="str">
        <x:v>configuration als Toolname</x:v>
      </x:c>
      <x:c r="F51" s="99" t="str">
        <x:v>Tool und Vorgang trennen.</x:v>
      </x:c>
    </x:row>
    <x:row r="52" ht="15" hidden="0" customHeight="1">
      <x:c r="A52" s="97" t="str">
        <x:v>Deutsch</x:v>
      </x:c>
      <x:c r="B52" s="97" t="str">
        <x:v>Konfigurator</x:v>
      </x:c>
      <x:c r="C52" s="97" t="str">
        <x:v>Französisch (fr-FR)</x:v>
      </x:c>
      <x:c r="D52" s="97" t="str">
        <x:v>configurateur</x:v>
      </x:c>
      <x:c r="E52" s="97" t="str">
        <x:v>configuration als Toolname</x:v>
      </x:c>
      <x:c r="F52" s="97" t="str">
        <x:v>Tool und Vorgang trennen.</x:v>
      </x:c>
    </x:row>
    <x:row r="53" ht="15" hidden="0" customHeight="1">
      <x:c r="A53" s="99" t="str">
        <x:v>Deutsch</x:v>
      </x:c>
      <x:c r="B53" s="99" t="str">
        <x:v>Konfigurator</x:v>
      </x:c>
      <x:c r="C53" s="99" t="str">
        <x:v>Dänisch (da-DK)</x:v>
      </x:c>
      <x:c r="D53" s="99" t="str">
        <x:v>konfigurator</x:v>
      </x:c>
      <x:c r="E53" s="99" t="str">
        <x:v>unterschiedliche Umschreibungen</x:v>
      </x:c>
      <x:c r="F53" s="99" t="str">
        <x:v>UI-Nomen und Seitentitel einheitlich.</x:v>
      </x:c>
    </x:row>
    <x:row r="54" ht="21.600000381469727" hidden="0" customHeight="1">
      <x:c r="A54" s="97" t="str">
        <x:v>Deutsch</x:v>
      </x:c>
      <x:c r="B54" s="97" t="str">
        <x:v>Konfigurator</x:v>
      </x:c>
      <x:c r="C54" s="97" t="str">
        <x:v>Spanisch (es-ES)</x:v>
      </x:c>
      <x:c r="D54" s="97" t="str">
        <x:v>configurador</x:v>
      </x:c>
      <x:c r="E54" s="97" t="str">
        <x:v>configurador de forma wechselnd mit „configuración“ als Seitennomen</x:v>
      </x:c>
      <x:c r="F54" s="97" t="str">
        <x:v>„configuración“ für den Vorgang, „configurador“ für das Tool.</x:v>
      </x:c>
    </x:row>
    <x:row r="55" ht="15" hidden="0" customHeight="1">
      <x:c r="A55" s="99" t="str">
        <x:v>Deutsch</x:v>
      </x:c>
      <x:c r="B55" s="99" t="str">
        <x:v>Konfigurator</x:v>
      </x:c>
      <x:c r="C55" s="99" t="str">
        <x:v>Niederländisch (nl-NL)</x:v>
      </x:c>
      <x:c r="D55" s="99" t="str">
        <x:v>configurator</x:v>
      </x:c>
      <x:c r="E55" s="99" t="str">
        <x:v>configuratie als Toolname</x:v>
      </x:c>
      <x:c r="F55" s="99" t="str">
        <x:v>„configuratie“ für Ergebnis/Vorgang.</x:v>
      </x:c>
    </x:row>
    <x:row r="56" ht="15" hidden="0" customHeight="1">
      <x:c r="A56" s="97" t="str">
        <x:v>Deutsch</x:v>
      </x:c>
      <x:c r="B56" s="97" t="str">
        <x:v>Konfigurator</x:v>
      </x:c>
      <x:c r="C56" s="97" t="str">
        <x:v>Norwegisch Bokmål (nb-NO)</x:v>
      </x:c>
      <x:c r="D56" s="97" t="str">
        <x:v>konfigurator</x:v>
      </x:c>
      <x:c r="E56" s="97" t="str">
        <x:v>konfigurasjon als Toolname</x:v>
      </x:c>
      <x:c r="F56" s="97" t="str">
        <x:v>Tool und Vorgang trennen.</x:v>
      </x:c>
    </x:row>
    <x:row r="57" ht="15" hidden="0" customHeight="1">
      <x:c r="A57" s="99" t="str">
        <x:v>Deutsch</x:v>
      </x:c>
      <x:c r="B57" s="99" t="str">
        <x:v>Konfigurator</x:v>
      </x:c>
      <x:c r="C57" s="99" t="str">
        <x:v>Schwedisch (sv-SE)</x:v>
      </x:c>
      <x:c r="D57" s="99" t="str">
        <x:v>konfigurator</x:v>
      </x:c>
      <x:c r="E57" s="99" t="str">
        <x:v>konfiguration als Toolname</x:v>
      </x:c>
      <x:c r="F57" s="99" t="str">
        <x:v>Tool und Vorgang trennen.</x:v>
      </x:c>
    </x:row>
    <x:row r="58" ht="15" hidden="0" customHeight="1">
      <x:c r="A58" s="97" t="str">
        <x:v>Deutsch</x:v>
      </x:c>
      <x:c r="B58" s="97" t="str">
        <x:v>Kopplungsmodus</x:v>
      </x:c>
      <x:c r="C58" s="97" t="str">
        <x:v>Englisch (en)</x:v>
      </x:c>
      <x:c r="D58" s="97" t="str">
        <x:v>pairing mode</x:v>
      </x:c>
      <x:c r="E58" s="97" t="str">
        <x:v>connection mode</x:v>
      </x:c>
      <x:c r="F58" s="97" t="str">
        <x:v>Bluetooth-/Gerätekopplung.</x:v>
      </x:c>
    </x:row>
    <x:row r="59" ht="15" hidden="0" customHeight="1">
      <x:c r="A59" s="99" t="str">
        <x:v>Deutsch</x:v>
      </x:c>
      <x:c r="B59" s="99" t="str">
        <x:v>Kopplungsmodus</x:v>
      </x:c>
      <x:c r="C59" s="99" t="str">
        <x:v>Französisch (fr-FR)</x:v>
      </x:c>
      <x:c r="D59" s="99" t="str">
        <x:v>mode d'appairage</x:v>
      </x:c>
      <x:c r="E59" s="99" t="str">
        <x:v>mode de connexion</x:v>
      </x:c>
      <x:c r="F59" s="99" t="str">
        <x:v>Bluetooth-/Gerätekopplung.</x:v>
      </x:c>
    </x:row>
    <x:row r="60" ht="15" hidden="0" customHeight="1">
      <x:c r="A60" s="97" t="str">
        <x:v>Deutsch</x:v>
      </x:c>
      <x:c r="B60" s="97" t="str">
        <x:v>Kopplungsmodus</x:v>
      </x:c>
      <x:c r="C60" s="97" t="str">
        <x:v>Dänisch (da-DK)</x:v>
      </x:c>
      <x:c r="D60" s="97" t="str">
        <x:v>parringstilstand</x:v>
      </x:c>
      <x:c r="E60" s="97" t="str">
        <x:v>koblingstilstand</x:v>
      </x:c>
      <x:c r="F60" s="97" t="str">
        <x:v>Bluetooth-/Gerätekopplung klar benennen.</x:v>
      </x:c>
    </x:row>
    <x:row r="61" ht="15" hidden="0" customHeight="1">
      <x:c r="A61" s="99" t="str">
        <x:v>Deutsch</x:v>
      </x:c>
      <x:c r="B61" s="99" t="str">
        <x:v>Kopplungsmodus</x:v>
      </x:c>
      <x:c r="C61" s="99" t="str">
        <x:v>Spanisch (es-ES)</x:v>
      </x:c>
      <x:c r="D61" s="99" t="str">
        <x:v>modo de emparejamiento</x:v>
      </x:c>
      <x:c r="E61" s="99" t="str">
        <x:v>modo de vinculación ohne Styleguide</x:v>
      </x:c>
      <x:c r="F61" s="99" t="str">
        <x:v>App-/Bluetooth-Terminologie vereinheitlichen.</x:v>
      </x:c>
    </x:row>
    <x:row r="62" ht="15" hidden="0" customHeight="1">
      <x:c r="A62" s="97" t="str">
        <x:v>Deutsch</x:v>
      </x:c>
      <x:c r="B62" s="97" t="str">
        <x:v>Kopplungsmodus</x:v>
      </x:c>
      <x:c r="C62" s="97" t="str">
        <x:v>Niederländisch (nl-NL)</x:v>
      </x:c>
      <x:c r="D62" s="97" t="str">
        <x:v>koppelingsmodus</x:v>
      </x:c>
      <x:c r="E62" s="97" t="str">
        <x:v>pairing mode</x:v>
      </x:c>
      <x:c r="F62" s="97" t="str">
        <x:v>Bestehenden niederländischen UI-Begriff beibehalten.</x:v>
      </x:c>
    </x:row>
    <x:row r="63" ht="15" hidden="0" customHeight="1">
      <x:c r="A63" s="99" t="str">
        <x:v>Deutsch</x:v>
      </x:c>
      <x:c r="B63" s="99" t="str">
        <x:v>Kopplungsmodus</x:v>
      </x:c>
      <x:c r="C63" s="99" t="str">
        <x:v>Norwegisch Bokmål (nb-NO)</x:v>
      </x:c>
      <x:c r="D63" s="99" t="str">
        <x:v>paringsmodus</x:v>
      </x:c>
      <x:c r="E63" s="99" t="str">
        <x:v>koblingsmodus</x:v>
      </x:c>
      <x:c r="F63" s="99" t="str">
        <x:v>Bluetooth-Kontext.</x:v>
      </x:c>
    </x:row>
    <x:row r="64" ht="15" hidden="0" customHeight="1">
      <x:c r="A64" s="97" t="str">
        <x:v>Deutsch</x:v>
      </x:c>
      <x:c r="B64" s="97" t="str">
        <x:v>Kopplungsmodus</x:v>
      </x:c>
      <x:c r="C64" s="97" t="str">
        <x:v>Schwedisch (sv-SE)</x:v>
      </x:c>
      <x:c r="D64" s="97" t="str">
        <x:v>parkopplingsläge</x:v>
      </x:c>
      <x:c r="E64" s="97" t="str">
        <x:v>parningsläge</x:v>
      </x:c>
      <x:c r="F64" s="97" t="str">
        <x:v>Schwedische Gerätekopplung.</x:v>
      </x:c>
    </x:row>
    <x:row r="65" ht="15" hidden="0" customHeight="1">
      <x:c r="A65" s="99" t="str">
        <x:v>Deutsch</x:v>
      </x:c>
      <x:c r="B65" s="99" t="str">
        <x:v>Paketrabatt</x:v>
      </x:c>
      <x:c r="C65" s="99" t="str">
        <x:v>Englisch (en)</x:v>
      </x:c>
      <x:c r="D65" s="99" t="str">
        <x:v>package discount</x:v>
      </x:c>
      <x:c r="E65" s="99" t="str">
        <x:v>package price deduction</x:v>
      </x:c>
      <x:c r="F65" s="99" t="str">
        <x:v>Kurzer Commerce-/UI-Begriff.</x:v>
      </x:c>
    </x:row>
    <x:row r="66" ht="15" hidden="0" customHeight="1">
      <x:c r="A66" s="97" t="str">
        <x:v>Deutsch</x:v>
      </x:c>
      <x:c r="B66" s="97" t="str">
        <x:v>Paketrabatt</x:v>
      </x:c>
      <x:c r="C66" s="97" t="str">
        <x:v>Französisch (fr-FR)</x:v>
      </x:c>
      <x:c r="D66" s="97" t="str">
        <x:v>remise sur le pack</x:v>
      </x:c>
      <x:c r="E66" s="97" t="str">
        <x:v>déduction du prix du pack</x:v>
      </x:c>
      <x:c r="F66" s="97" t="str">
        <x:v>Kurzer Commerce-/UI-Begriff.</x:v>
      </x:c>
    </x:row>
    <x:row r="67" ht="15" hidden="0" customHeight="1">
      <x:c r="A67" s="99" t="str">
        <x:v>Deutsch</x:v>
      </x:c>
      <x:c r="B67" s="99" t="str">
        <x:v>Paketrabatt</x:v>
      </x:c>
      <x:c r="C67" s="99" t="str">
        <x:v>Schwedisch (sv-SE)</x:v>
      </x:c>
      <x:c r="D67" s="99" t="str">
        <x:v>Paketrabatt</x:v>
      </x:c>
      <x:c r="E67" s="99" t="str">
        <x:v>Paketprisavdrag</x:v>
      </x:c>
      <x:c r="F67" s="99" t="str">
        <x:v>Kurzer, üblicher Commerce-/UI-Begriff.</x:v>
      </x:c>
    </x:row>
    <x:row r="68" ht="15" hidden="0" customHeight="1">
      <x:c r="A68" s="97" t="str">
        <x:v>Deutsch</x:v>
      </x:c>
      <x:c r="B68" s="97" t="str">
        <x:v>Steuerstand</x:v>
      </x:c>
      <x:c r="C68" s="97" t="str">
        <x:v>Englisch (en)</x:v>
      </x:c>
      <x:c r="D68" s="97" t="str">
        <x:v>helm station</x:v>
      </x:c>
      <x:c r="E68" s="97" t="str">
        <x:v>control place</x:v>
      </x:c>
      <x:c r="F68" s="97" t="str">
        <x:v>Maritimer B2B-Begriff.</x:v>
      </x:c>
    </x:row>
    <x:row r="69" ht="15" hidden="0" customHeight="1">
      <x:c r="A69" s="99" t="str">
        <x:v>Deutsch</x:v>
      </x:c>
      <x:c r="B69" s="99" t="str">
        <x:v>Steuerstand</x:v>
      </x:c>
      <x:c r="C69" s="99" t="str">
        <x:v>Französisch (fr-FR)</x:v>
      </x:c>
      <x:c r="D69" s="99" t="str">
        <x:v>poste de pilotage</x:v>
      </x:c>
      <x:c r="E69" s="99" t="str">
        <x:v>poste de contrôle ohne Kontext</x:v>
      </x:c>
      <x:c r="F69" s="99" t="str">
        <x:v>Physischer Bootssteuerstand.</x:v>
      </x:c>
    </x:row>
    <x:row r="70" ht="15" hidden="0" customHeight="1">
      <x:c r="A70" s="97" t="str">
        <x:v>Deutsch</x:v>
      </x:c>
      <x:c r="B70" s="97" t="str">
        <x:v>Steuerstand</x:v>
      </x:c>
      <x:c r="C70" s="97" t="str">
        <x:v>Dänisch (da-DK)</x:v>
      </x:c>
      <x:c r="D70" s="97" t="str">
        <x:v>styreplads</x:v>
      </x:c>
      <x:c r="E70" s="97" t="str">
        <x:v>wechselnde Synonyme ohne Kontextgrund</x:v>
      </x:c>
      <x:c r="F70" s="97" t="str">
        <x:v>Bereits mehrfach konsistent verwendet.</x:v>
      </x:c>
    </x:row>
    <x:row r="71" ht="21.600000381469727" hidden="0" customHeight="1">
      <x:c r="A71" s="99" t="str">
        <x:v>Deutsch</x:v>
      </x:c>
      <x:c r="B71" s="99" t="str">
        <x:v>Steuerstand</x:v>
      </x:c>
      <x:c r="C71" s="99" t="str">
        <x:v>Spanisch (es-ES)</x:v>
      </x:c>
      <x:c r="D71" s="99" t="str">
        <x:v>puesto de gobierno</x:v>
      </x:c>
      <x:c r="E71" s="99" t="str">
        <x:v>puesto de control (wenn der physische Bootssteuerstand gemeint ist)</x:v>
      </x:c>
      <x:c r="F71" s="99" t="str">
        <x:v>Maritimer B2B-Begriff.</x:v>
      </x:c>
    </x:row>
    <x:row r="72" ht="15" hidden="0" customHeight="1">
      <x:c r="A72" s="97" t="str">
        <x:v>Deutsch</x:v>
      </x:c>
      <x:c r="B72" s="97" t="str">
        <x:v>Steuerstand</x:v>
      </x:c>
      <x:c r="C72" s="97" t="str">
        <x:v>Niederländisch (nl-NL)</x:v>
      </x:c>
      <x:c r="D72" s="97" t="str">
        <x:v>stuurstand</x:v>
      </x:c>
      <x:c r="E72" s="97" t="str">
        <x:v>bedieningsplek</x:v>
      </x:c>
      <x:c r="F72" s="97" t="str">
        <x:v>Bereits konsistent verwendet.</x:v>
      </x:c>
    </x:row>
    <x:row r="73" ht="15" hidden="0" customHeight="1">
      <x:c r="A73" s="99" t="str">
        <x:v>Deutsch</x:v>
      </x:c>
      <x:c r="B73" s="99" t="str">
        <x:v>Steuerstand</x:v>
      </x:c>
      <x:c r="C73" s="99" t="str">
        <x:v>Norwegisch Bokmål (nb-NO)</x:v>
      </x:c>
      <x:c r="D73" s="99" t="str">
        <x:v>styreposisjon</x:v>
      </x:c>
      <x:c r="E73" s="99" t="str">
        <x:v>styreplass ohne definierte Präferenz</x:v>
      </x:c>
      <x:c r="F73" s="99" t="str">
        <x:v>Eine Variante im Glossar festlegen.</x:v>
      </x:c>
    </x:row>
    <x:row r="74" ht="15" hidden="0" customHeight="1">
      <x:c r="A74" s="97" t="str">
        <x:v>Deutsch</x:v>
      </x:c>
      <x:c r="B74" s="97" t="str">
        <x:v>Steuerstand</x:v>
      </x:c>
      <x:c r="C74" s="97" t="str">
        <x:v>Schwedisch (sv-SE)</x:v>
      </x:c>
      <x:c r="D74" s="97" t="str">
        <x:v>förarplats</x:v>
      </x:c>
      <x:c r="E74" s="97" t="str">
        <x:v>styrplats ohne definierte Präferenz</x:v>
      </x:c>
      <x:c r="F74" s="97" t="str">
        <x:v>Aktueller Produkttext verwendet „förarplats“ konsistent.</x:v>
      </x:c>
    </x:row>
    <x:row r="75" ht="15" hidden="0" customHeight="1">
      <x:c r="A75" s="99" t="str">
        <x:v>Deutsch</x:v>
      </x:c>
      <x:c r="B75" s="99" t="str">
        <x:v>Strahlruder</x:v>
      </x:c>
      <x:c r="C75" s="99" t="str">
        <x:v>Englisch (en)</x:v>
      </x:c>
      <x:c r="D75" s="99" t="str">
        <x:v>thruster</x:v>
      </x:c>
      <x:c r="E75" s="99" t="str">
        <x:v>generic propeller</x:v>
      </x:c>
      <x:c r="F75" s="99" t="str">
        <x:v>Generischer Marinebegriff; Bug/Heck spezifizieren.</x:v>
      </x:c>
    </x:row>
    <x:row r="76" ht="15" hidden="0" customHeight="1">
      <x:c r="A76" s="97" t="str">
        <x:v>Deutsch</x:v>
      </x:c>
      <x:c r="B76" s="97" t="str">
        <x:v>Strahlruder</x:v>
      </x:c>
      <x:c r="C76" s="97" t="str">
        <x:v>Französisch (fr-FR)</x:v>
      </x:c>
      <x:c r="D76" s="97" t="str">
        <x:v>propulseur de manœuvre</x:v>
      </x:c>
      <x:c r="E76" s="97" t="str">
        <x:v>hélice ohne technischen Kontext</x:v>
      </x:c>
      <x:c r="F76" s="97" t="str">
        <x:v>Generischer Begriff; Bug/Heck gezielt benennen.</x:v>
      </x:c>
    </x:row>
    <x:row r="77" ht="21.600000381469727" hidden="0" customHeight="1">
      <x:c r="A77" s="99" t="str">
        <x:v>Deutsch</x:v>
      </x:c>
      <x:c r="B77" s="99" t="str">
        <x:v>Strahlruder</x:v>
      </x:c>
      <x:c r="C77" s="99" t="str">
        <x:v>Dänisch (da-DK)</x:v>
      </x:c>
      <x:c r="D77" s="99" t="str">
        <x:v>thruster</x:v>
      </x:c>
      <x:c r="E77" s="99" t="str">
        <x:v>direkte Mischformen ohne Festlegung</x:v>
      </x:c>
      <x:c r="F77" s="99" t="str">
        <x:v>Generischer Produkt-/Technikbegriff; für Bug/Heck die festgelegten Unterbegriffe verwenden.</x:v>
      </x:c>
    </x:row>
    <x:row r="78" ht="15" hidden="0" customHeight="1">
      <x:c r="A78" s="97" t="str">
        <x:v>Deutsch</x:v>
      </x:c>
      <x:c r="B78" s="97" t="str">
        <x:v>Strahlruder</x:v>
      </x:c>
      <x:c r="C78" s="97" t="str">
        <x:v>Spanisch (es-ES)</x:v>
      </x:c>
      <x:c r="D78" s="97" t="str">
        <x:v>propulsor de maniobra</x:v>
      </x:c>
      <x:c r="E78" s="97" t="str">
        <x:v>thruster (außer bewusst als Marken-/Fachjargon)</x:v>
      </x:c>
      <x:c r="F78" s="97" t="str">
        <x:v>Im Fließtext fachsprachlich spanisch halten.</x:v>
      </x:c>
    </x:row>
    <x:row r="79" ht="15" hidden="0" customHeight="1">
      <x:c r="A79" s="99" t="str">
        <x:v>Deutsch</x:v>
      </x:c>
      <x:c r="B79" s="99" t="str">
        <x:v>Strahlruder</x:v>
      </x:c>
      <x:c r="C79" s="99" t="str">
        <x:v>Niederländisch (nl-NL)</x:v>
      </x:c>
      <x:c r="D79" s="99" t="str">
        <x:v>thruster</x:v>
      </x:c>
      <x:c r="E79" s="99" t="str">
        <x:v>wisselnd „dwarsstuwer“/„thruster“ ohne Styleguide</x:v>
      </x:c>
      <x:c r="F79" s="99" t="str">
        <x:v>Aktueller Website-Stil verwendet „thruster“ häufig und natürlich.</x:v>
      </x:c>
    </x:row>
    <x:row r="80" ht="15" hidden="0" customHeight="1">
      <x:c r="A80" s="97" t="str">
        <x:v>Deutsch</x:v>
      </x:c>
      <x:c r="B80" s="97" t="str">
        <x:v>Strahlruder</x:v>
      </x:c>
      <x:c r="C80" s="97" t="str">
        <x:v>Norwegisch Bokmål (nb-NO)</x:v>
      </x:c>
      <x:c r="D80" s="97" t="str">
        <x:v>thruster</x:v>
      </x:c>
      <x:c r="E80" s="97" t="str">
        <x:v>unmotivierter Wechsel zu anderen Gattungsbegriffen</x:v>
      </x:c>
      <x:c r="F80" s="97" t="str">
        <x:v>Für Bug/Heck spezifizieren.</x:v>
      </x:c>
    </x:row>
    <x:row r="81" ht="15" hidden="0" customHeight="1">
      <x:c r="A81" s="99" t="str">
        <x:v>Deutsch</x:v>
      </x:c>
      <x:c r="B81" s="99" t="str">
        <x:v>Strahlruder</x:v>
      </x:c>
      <x:c r="C81" s="99" t="str">
        <x:v>Schwedisch (sv-SE)</x:v>
      </x:c>
      <x:c r="D81" s="99" t="str">
        <x:v>manöverpropeller</x:v>
      </x:c>
      <x:c r="E81" s="99" t="str">
        <x:v>thruster in normalem Fließtext</x:v>
      </x:c>
      <x:c r="F81" s="99" t="str">
        <x:v>Technisch klar und bereits im Produkttext etabliert.</x:v>
      </x:c>
    </x:row>
    <x:row r="82" ht="15" hidden="0" customHeight="1">
      <x:c r="A82" s="97" t="str">
        <x:v>Deutsch</x:v>
      </x:c>
      <x:c r="B82" s="97" t="str">
        <x:v>Weitere auf Anfrage</x:v>
      </x:c>
      <x:c r="C82" s="97" t="str">
        <x:v>Englisch (en)</x:v>
      </x:c>
      <x:c r="D82" s="97" t="str">
        <x:v>Others available on request</x:v>
      </x:c>
      <x:c r="E82" s="97" t="str">
        <x:v>Others under consultation</x:v>
      </x:c>
      <x:c r="F82" s="97" t="str">
        <x:v>Für Konfigurator-Auswahloptionen.</x:v>
      </x:c>
    </x:row>
    <x:row r="83" ht="15" hidden="0" customHeight="1">
      <x:c r="A83" s="99" t="str">
        <x:v>Deutsch</x:v>
      </x:c>
      <x:c r="B83" s="99" t="str">
        <x:v>Weitere auf Anfrage</x:v>
      </x:c>
      <x:c r="C83" s="99" t="str">
        <x:v>Französisch (fr-FR)</x:v>
      </x:c>
      <x:c r="D83" s="99" t="str">
        <x:v>Autres sur demande</x:v>
      </x:c>
      <x:c r="E83" s="99" t="str">
        <x:v>Autres sous consultation</x:v>
      </x:c>
      <x:c r="F83" s="99" t="str">
        <x:v>Für Konfigurator-Auswahloptionen.</x:v>
      </x:c>
    </x:row>
    <x:row r="84" ht="15" hidden="0" customHeight="1">
      <x:c r="A84" s="97" t="str">
        <x:v>Deutsch</x:v>
      </x:c>
      <x:c r="B84" s="97" t="str">
        <x:v>Weitere auf Anfrage</x:v>
      </x:c>
      <x:c r="C84" s="97" t="str">
        <x:v>Spanisch (es-ES)</x:v>
      </x:c>
      <x:c r="D84" s="97" t="str">
        <x:v>Otros, previa consulta</x:v>
      </x:c>
      <x:c r="E84" s="97" t="str">
        <x:v>Otros bajo consulta</x:v>
      </x:c>
      <x:c r="F84" s="97" t="str">
        <x:v>Für Auswahloptionen im Konfigurator.</x:v>
      </x:c>
    </x:row>
    <x:row r="85" ht="15" hidden="0" customHeight="1">
      <x:c r="A85" s="99" t="str">
        <x:v>Deutsch</x:v>
      </x:c>
      <x:c r="B85" s="99" t="str">
        <x:v>Winch</x:v>
      </x:c>
      <x:c r="C85" s="99" t="str">
        <x:v>Englisch (en)</x:v>
      </x:c>
      <x:c r="D85" s="99" t="str">
        <x:v>winch</x:v>
      </x:c>
      <x:c r="E85" s="99" t="str">
        <x:v>anchor windlass ohne Ankerfunktion</x:v>
      </x:c>
      <x:c r="F85" s="99" t="str">
        <x:v>Generischer Windenbegriff.</x:v>
      </x:c>
    </x:row>
    <x:row r="86" ht="15" hidden="0" customHeight="1">
      <x:c r="A86" s="97" t="str">
        <x:v>Deutsch</x:v>
      </x:c>
      <x:c r="B86" s="97" t="str">
        <x:v>Winch</x:v>
      </x:c>
      <x:c r="C86" s="97" t="str">
        <x:v>Französisch (fr-FR)</x:v>
      </x:c>
      <x:c r="D86" s="97" t="str">
        <x:v>treuil</x:v>
      </x:c>
      <x:c r="E86" s="97" t="str">
        <x:v>guindeau ohne Ankerfunktion</x:v>
      </x:c>
      <x:c r="F86" s="97" t="str">
        <x:v>Gerätefunktion beachten.</x:v>
      </x:c>
    </x:row>
    <x:row r="87" ht="15" hidden="0" customHeight="1">
      <x:c r="A87" s="99" t="str">
        <x:v>Deutsch</x:v>
      </x:c>
      <x:c r="B87" s="99" t="str">
        <x:v>Winch</x:v>
      </x:c>
      <x:c r="C87" s="99" t="str">
        <x:v>Dänisch (da-DK)</x:v>
      </x:c>
      <x:c r="D87" s="99" t="str">
        <x:v>spil</x:v>
      </x:c>
      <x:c r="E87" s="99" t="str">
        <x:v>ankerspil, wenn keine Ankerwinde gemeint ist</x:v>
      </x:c>
      <x:c r="F87" s="99" t="str">
        <x:v>Generischer Windenbegriff.</x:v>
      </x:c>
    </x:row>
    <x:row r="88" ht="15" hidden="0" customHeight="1">
      <x:c r="A88" s="97" t="str">
        <x:v>Deutsch</x:v>
      </x:c>
      <x:c r="B88" s="97" t="str">
        <x:v>Winch</x:v>
      </x:c>
      <x:c r="C88" s="97" t="str">
        <x:v>Spanisch (es-ES)</x:v>
      </x:c>
      <x:c r="D88" s="97" t="str">
        <x:v>cabrestante</x:v>
      </x:c>
      <x:c r="E88" s="97" t="str">
        <x:v>molinete de ancla, wenn keine Ankerfunktion gemeint ist</x:v>
      </x:c>
      <x:c r="F88" s="97" t="str">
        <x:v>Gerätefunktion beachten.</x:v>
      </x:c>
    </x:row>
    <x:row r="89" ht="15" hidden="0" customHeight="1">
      <x:c r="A89" s="99" t="str">
        <x:v>Deutsch</x:v>
      </x:c>
      <x:c r="B89" s="99" t="str">
        <x:v>Winch</x:v>
      </x:c>
      <x:c r="C89" s="99" t="str">
        <x:v>Niederländisch (nl-NL)</x:v>
      </x:c>
      <x:c r="D89" s="99" t="str">
        <x:v>lier</x:v>
      </x:c>
      <x:c r="E89" s="99" t="str">
        <x:v>ankerlier, wenn keine Ankerfunktion gemeint ist</x:v>
      </x:c>
      <x:c r="F89" s="99" t="str">
        <x:v>Generischer Windenbegriff.</x:v>
      </x:c>
    </x:row>
    <x:row r="90" ht="15" hidden="0" customHeight="1">
      <x:c r="A90" s="97" t="str">
        <x:v>Deutsch</x:v>
      </x:c>
      <x:c r="B90" s="97" t="str">
        <x:v>Winch</x:v>
      </x:c>
      <x:c r="C90" s="97" t="str">
        <x:v>Norwegisch Bokmål (nb-NO)</x:v>
      </x:c>
      <x:c r="D90" s="97" t="str">
        <x:v>vinsj</x:v>
      </x:c>
      <x:c r="E90" s="97" t="str">
        <x:v>ankervinsj, wenn keine Ankerfunktion gemeint ist</x:v>
      </x:c>
      <x:c r="F90" s="97" t="str">
        <x:v>Generischer Windenbegriff.</x:v>
      </x:c>
    </x:row>
    <x:row r="91" ht="15" hidden="0" customHeight="1">
      <x:c r="A91" s="99" t="str">
        <x:v>Deutsch</x:v>
      </x:c>
      <x:c r="B91" s="99" t="str">
        <x:v>Winch</x:v>
      </x:c>
      <x:c r="C91" s="99" t="str">
        <x:v>Schwedisch (sv-SE)</x:v>
      </x:c>
      <x:c r="D91" s="99" t="str">
        <x:v>vinsch</x:v>
      </x:c>
      <x:c r="E91" s="99" t="str">
        <x:v>ankarspel, wenn keine Ankerfunktion gemeint ist</x:v>
      </x:c>
      <x:c r="F91" s="99" t="str">
        <x:v>Generischer Windenbegriff.</x:v>
      </x:c>
    </x:row>
  </x:sheetData>
  <x:pageMargins left="0.7" right="0.7" top="0.75" bottom="0.75" header="0.3" footer="0.3"/>
  <x:tableParts count="1">
    <x:tablePart xmlns:r="http://schemas.openxmlformats.org/officeDocument/2006/relationships" r:id="Ra8258e22d82e4e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35" hidden="0" customWidth="1"/>
    <x:col min="4" max="4" width="23" hidden="0" customWidth="1"/>
    <x:col min="5" max="5" width="55" hidden="0" customWidth="1"/>
    <x:col min="6" max="6" width="20" hidden="0" customWidth="1"/>
  </x:cols>
  <x:sheetData>
    <x:row r="1" ht="28" customHeight="1">
      <x:c r="A1" s="51" t="str">
        <x:v>Abschlussbericht – Übersetzungsqualität SmartDock (7 Zielsprachen)</x:v>
      </x:c>
      <x:c r="B1" s="51"/>
      <x:c r="C1" s="51"/>
      <x:c r="D1" s="51"/>
      <x:c r="E1" s="51"/>
      <x:c r="F1" s="51"/>
    </x:row>
    <x:row r="2">
      <x:c r="A2" s="52"/>
      <x:c r="B2" s="52"/>
      <x:c r="C2" s="52"/>
      <x:c r="D2" s="52"/>
      <x:c r="E2" s="52"/>
      <x:c r="F2" s="52"/>
    </x:row>
    <x:row r="3" ht="30" customHeight="1">
      <x:c r="A3" s="53" t="str">
        <x:v>QA-Gesamturteil</x:v>
      </x:c>
      <x:c r="B3" s="132" t="n">
        <x:f>ROUND(SUM(E4:E10)/COUNT(E4:E10),1)</x:f>
        <x:v>96.3</x:v>
      </x:c>
      <x:c r="C3" s="52"/>
      <x:c r="D3" s="76" t="str">
        <x:v>Zielsprache</x:v>
      </x:c>
      <x:c r="E3" s="77" t="str">
        <x:v>Arithm. Seitenmittel</x:v>
      </x:c>
      <x:c r="F3" s="78" t="str">
        <x:v>Einordnung</x:v>
      </x:c>
    </x:row>
    <x:row r="4" ht="30" customHeight="1">
      <x:c r="A4" s="53" t="str">
        <x:v>Kritische Fehler</x:v>
      </x:c>
      <x:c r="B4" s="121" t="n">
        <x:f>COUNTIF('Fehlerliste'!$E$2:$E$13,"Kritisch")</x:f>
        <x:v>0</x:v>
      </x:c>
      <x:c r="C4" s="52"/>
      <x:c r="D4" s="54" t="str">
        <x:v>Englisch (en)</x:v>
      </x:c>
      <x:c r="E4" s="122" t="n">
        <x:f>ROUND(('Seitenbewertungen'!I2+'Seitenbewertungen'!I9+'Seitenbewertungen'!I16+'Seitenbewertungen'!I23+'Seitenbewertungen'!I30+'Seitenbewertungen'!I37+'Seitenbewertungen'!I44+'Seitenbewertungen'!I51+'Seitenbewertungen'!I58+'Seitenbewertungen'!I65+'Seitenbewertungen'!I72+'Seitenbewertungen'!I79+'Seitenbewertungen'!I86+'Seitenbewertungen'!I93+'Seitenbewertungen'!I100+'Seitenbewertungen'!I107+'Seitenbewertungen'!I114+'Seitenbewertungen'!I121+'Seitenbewertungen'!I128+'Seitenbewertungen'!I135+'Seitenbewertungen'!I142+'Seitenbewertungen'!I149+'Seitenbewertungen'!I156+'Seitenbewertungen'!I163+'Seitenbewertungen'!I170+'Seitenbewertungen'!I177+'Seitenbewertungen'!I184+'Seitenbewertungen'!I191+'Seitenbewertungen'!I198+'Seitenbewertungen'!I205)/30,1)</x:f>
        <x:v>95.9</x:v>
      </x:c>
      <x:c r="F4" s="54" t="str">
        <x:v>sehr gut; Zielwert erreicht</x:v>
      </x:c>
    </x:row>
    <x:row r="5" ht="30" customHeight="1">
      <x:c r="A5" s="53" t="str">
        <x:v>Hohe Restbefunde</x:v>
      </x:c>
      <x:c r="B5" s="121" t="n">
        <x:f>COUNTIF('Fehlerliste'!$E$2:$E$13,"Hoch")</x:f>
        <x:v>9</x:v>
      </x:c>
      <x:c r="C5" s="52"/>
      <x:c r="D5" s="54" t="str">
        <x:v>Französisch (fr-FR)</x:v>
      </x:c>
      <x:c r="E5" s="122" t="n">
        <x:f>ROUND(('Seitenbewertungen'!I3+'Seitenbewertungen'!I10+'Seitenbewertungen'!I17+'Seitenbewertungen'!I24+'Seitenbewertungen'!I31+'Seitenbewertungen'!I38+'Seitenbewertungen'!I45+'Seitenbewertungen'!I52+'Seitenbewertungen'!I59+'Seitenbewertungen'!I66+'Seitenbewertungen'!I73+'Seitenbewertungen'!I80+'Seitenbewertungen'!I87+'Seitenbewertungen'!I94+'Seitenbewertungen'!I101+'Seitenbewertungen'!I108+'Seitenbewertungen'!I115+'Seitenbewertungen'!I122+'Seitenbewertungen'!I129+'Seitenbewertungen'!I136+'Seitenbewertungen'!I143+'Seitenbewertungen'!I150+'Seitenbewertungen'!I157+'Seitenbewertungen'!I164+'Seitenbewertungen'!I171+'Seitenbewertungen'!I178+'Seitenbewertungen'!I185+'Seitenbewertungen'!I192+'Seitenbewertungen'!I199+'Seitenbewertungen'!I206)/30,1)</x:f>
        <x:v>95.6</x:v>
      </x:c>
      <x:c r="F5" s="54" t="str">
        <x:v>sehr gut; Zielwert erreicht</x:v>
      </x:c>
    </x:row>
    <x:row r="6" ht="30" customHeight="1">
      <x:c r="A6" s="53" t="str">
        <x:v>Mittlere Restbefunde</x:v>
      </x:c>
      <x:c r="B6" s="121" t="n">
        <x:f>COUNTIF('Fehlerliste'!$E$2:$E$13,"Mittel")</x:f>
        <x:v>3</x:v>
      </x:c>
      <x:c r="C6" s="52"/>
      <x:c r="D6" s="54" t="str">
        <x:v>Dänisch (da-DK)</x:v>
      </x:c>
      <x:c r="E6" s="122" t="n">
        <x:f>ROUND(('Seitenbewertungen'!I4+'Seitenbewertungen'!I11+'Seitenbewertungen'!I18+'Seitenbewertungen'!I25+'Seitenbewertungen'!I32+'Seitenbewertungen'!I39+'Seitenbewertungen'!I46+'Seitenbewertungen'!I53+'Seitenbewertungen'!I60+'Seitenbewertungen'!I67+'Seitenbewertungen'!I74+'Seitenbewertungen'!I81+'Seitenbewertungen'!I88+'Seitenbewertungen'!I95+'Seitenbewertungen'!I102+'Seitenbewertungen'!I109+'Seitenbewertungen'!I116+'Seitenbewertungen'!I123+'Seitenbewertungen'!I130+'Seitenbewertungen'!I137+'Seitenbewertungen'!I144+'Seitenbewertungen'!I151+'Seitenbewertungen'!I158+'Seitenbewertungen'!I165+'Seitenbewertungen'!I172+'Seitenbewertungen'!I179+'Seitenbewertungen'!I186+'Seitenbewertungen'!I193+'Seitenbewertungen'!I200+'Seitenbewertungen'!I207)/30,1)</x:f>
        <x:v>96.6</x:v>
      </x:c>
      <x:c r="F6" s="54" t="str">
        <x:v>sehr gut; Zielwert erreicht</x:v>
      </x:c>
    </x:row>
    <x:row r="7" ht="30" customHeight="1">
      <x:c r="A7" s="53" t="str">
        <x:v>Niedrige Restbefunde</x:v>
      </x:c>
      <x:c r="B7" s="121" t="n">
        <x:f>COUNTIF('Fehlerliste'!$E$2:$E$13,"Niedrig")</x:f>
        <x:v>0</x:v>
      </x:c>
      <x:c r="C7" s="52"/>
      <x:c r="D7" s="54" t="str">
        <x:v>Spanisch (es-ES)</x:v>
      </x:c>
      <x:c r="E7" s="122" t="n">
        <x:f>ROUND(('Seitenbewertungen'!I5+'Seitenbewertungen'!I12+'Seitenbewertungen'!I19+'Seitenbewertungen'!I26+'Seitenbewertungen'!I33+'Seitenbewertungen'!I40+'Seitenbewertungen'!I47+'Seitenbewertungen'!I54+'Seitenbewertungen'!I61+'Seitenbewertungen'!I68+'Seitenbewertungen'!I75+'Seitenbewertungen'!I82+'Seitenbewertungen'!I89+'Seitenbewertungen'!I96+'Seitenbewertungen'!I103+'Seitenbewertungen'!I110+'Seitenbewertungen'!I117+'Seitenbewertungen'!I124+'Seitenbewertungen'!I131+'Seitenbewertungen'!I138+'Seitenbewertungen'!I145+'Seitenbewertungen'!I152+'Seitenbewertungen'!I159+'Seitenbewertungen'!I166+'Seitenbewertungen'!I173+'Seitenbewertungen'!I180+'Seitenbewertungen'!I187+'Seitenbewertungen'!I194+'Seitenbewertungen'!I201+'Seitenbewertungen'!I208)/30,1)</x:f>
        <x:v>96.6</x:v>
      </x:c>
      <x:c r="F7" s="54" t="str">
        <x:v>sehr gut; Zielwert erreicht</x:v>
      </x:c>
    </x:row>
    <x:row r="8" ht="30" customHeight="1">
      <x:c r="A8" s="56" t="str">
        <x:v>EN offene Restbefunde</x:v>
      </x:c>
      <x:c r="B8" s="123" t="n">
        <x:f>COUNTIF('Fehlerliste'!$A$2:$A$13,"Englisch (en)")</x:f>
        <x:v>3</x:v>
      </x:c>
      <x:c r="C8" s="52"/>
      <x:c r="D8" s="54" t="str">
        <x:v>Niederländisch (nl-NL)</x:v>
      </x:c>
      <x:c r="E8" s="122" t="n">
        <x:f>ROUND(('Seitenbewertungen'!I6+'Seitenbewertungen'!I13+'Seitenbewertungen'!I20+'Seitenbewertungen'!I27+'Seitenbewertungen'!I34+'Seitenbewertungen'!I41+'Seitenbewertungen'!I48+'Seitenbewertungen'!I55+'Seitenbewertungen'!I62+'Seitenbewertungen'!I69+'Seitenbewertungen'!I76+'Seitenbewertungen'!I83+'Seitenbewertungen'!I90+'Seitenbewertungen'!I97+'Seitenbewertungen'!I104+'Seitenbewertungen'!I111+'Seitenbewertungen'!I118+'Seitenbewertungen'!I125+'Seitenbewertungen'!I132+'Seitenbewertungen'!I139+'Seitenbewertungen'!I146+'Seitenbewertungen'!I153+'Seitenbewertungen'!I160+'Seitenbewertungen'!I167+'Seitenbewertungen'!I174+'Seitenbewertungen'!I181+'Seitenbewertungen'!I188+'Seitenbewertungen'!I195+'Seitenbewertungen'!I202+'Seitenbewertungen'!I209)/30,1)</x:f>
        <x:v>96.6</x:v>
      </x:c>
      <x:c r="F8" s="54" t="str">
        <x:v>sehr gut; Zielwert erreicht</x:v>
      </x:c>
    </x:row>
    <x:row r="9" ht="30" customHeight="1">
      <x:c r="A9" s="56" t="str">
        <x:v>FR offene Restbefunde</x:v>
      </x:c>
      <x:c r="B9" s="123" t="n">
        <x:f>COUNTIF('Fehlerliste'!$A$2:$A$13,"Französisch (fr-FR)")</x:f>
        <x:v>3</x:v>
      </x:c>
      <x:c r="C9" s="52"/>
      <x:c r="D9" s="52" t="str">
        <x:v>Norwegisch Bokmål (nb-NO)</x:v>
      </x:c>
      <x:c r="E9" s="133" t="n">
        <x:f>ROUND(('Seitenbewertungen'!I7+'Seitenbewertungen'!I14+'Seitenbewertungen'!I21+'Seitenbewertungen'!I28+'Seitenbewertungen'!I35+'Seitenbewertungen'!I42+'Seitenbewertungen'!I49+'Seitenbewertungen'!I56+'Seitenbewertungen'!I63+'Seitenbewertungen'!I70+'Seitenbewertungen'!I77+'Seitenbewertungen'!I84+'Seitenbewertungen'!I91+'Seitenbewertungen'!I98+'Seitenbewertungen'!I105+'Seitenbewertungen'!I112+'Seitenbewertungen'!I119+'Seitenbewertungen'!I126+'Seitenbewertungen'!I133+'Seitenbewertungen'!I140+'Seitenbewertungen'!I147+'Seitenbewertungen'!I154+'Seitenbewertungen'!I161+'Seitenbewertungen'!I168+'Seitenbewertungen'!I175+'Seitenbewertungen'!I182+'Seitenbewertungen'!I189+'Seitenbewertungen'!I196+'Seitenbewertungen'!I203+'Seitenbewertungen'!I210)/30,1)</x:f>
        <x:v>96.5</x:v>
      </x:c>
      <x:c r="F9" s="52" t="str">
        <x:v>sehr gut; Zielwert erreicht</x:v>
      </x:c>
    </x:row>
    <x:row r="10" ht="30" customHeight="1">
      <x:c r="A10" s="56" t="str">
        <x:v>FR LIVE-DE-FALLBACK</x:v>
      </x:c>
      <x:c r="B10" s="123" t="n">
        <x:f>COUNTIF('Fehlerliste'!$D$2:$D$13,"*LIVE-DE-FALLBACK*")</x:f>
        <x:v>0</x:v>
      </x:c>
      <x:c r="C10" s="52"/>
      <x:c r="D10" s="52" t="str">
        <x:v>Schwedisch (sv-SE)</x:v>
      </x:c>
      <x:c r="E10" s="133" t="n">
        <x:f>ROUND(('Seitenbewertungen'!I8+'Seitenbewertungen'!I15+'Seitenbewertungen'!I22+'Seitenbewertungen'!I29+'Seitenbewertungen'!I36+'Seitenbewertungen'!I43+'Seitenbewertungen'!I50+'Seitenbewertungen'!I57+'Seitenbewertungen'!I64+'Seitenbewertungen'!I71+'Seitenbewertungen'!I78+'Seitenbewertungen'!I85+'Seitenbewertungen'!I92+'Seitenbewertungen'!I99+'Seitenbewertungen'!I106+'Seitenbewertungen'!I113+'Seitenbewertungen'!I120+'Seitenbewertungen'!I127+'Seitenbewertungen'!I134+'Seitenbewertungen'!I141+'Seitenbewertungen'!I148+'Seitenbewertungen'!I155+'Seitenbewertungen'!I162+'Seitenbewertungen'!I169+'Seitenbewertungen'!I176+'Seitenbewertungen'!I183+'Seitenbewertungen'!I190+'Seitenbewertungen'!I197+'Seitenbewertungen'!I204+'Seitenbewertungen'!I211)/30,1)</x:f>
        <x:v>96.4</x:v>
      </x:c>
      <x:c r="F10" s="52" t="str">
        <x:v>sehr gut; Zielwert erreicht</x:v>
      </x:c>
    </x:row>
    <x:row r="11">
      <x:c r="A11" s="124"/>
      <x:c r="B11" s="124"/>
      <x:c r="C11" s="124"/>
      <x:c r="D11" s="124"/>
      <x:c r="E11" s="124"/>
      <x:c r="F11" s="124"/>
    </x:row>
    <x:row r="12">
      <x:c r="A12" s="153" t="str">
        <x:v>1. Gesamtbewertung der Übersetzungsqualität</x:v>
      </x:c>
      <x:c r="B12" s="153"/>
      <x:c r="C12" s="153"/>
      <x:c r="D12" s="153"/>
      <x:c r="E12" s="153"/>
      <x:c r="F12" s="153"/>
    </x:row>
    <x:row r="13" ht="30" customHeight="1">
      <x:c r="A13" s="141" t="str">
        <x:v>Nach der Optimierungsrunde erreichen alle sieben Zielsprachen mindestens 95/100. Die größten Qualitätssprünge stammen aus der vollständigen Aktivierung der französischen Rechtsseiten, der lokalisierten Bestätigungsseite sowie der Bereinigung von Installations-, Karten- und Marketingtexten.</x:v>
      </x:c>
      <x:c r="B13" s="141"/>
      <x:c r="C13" s="141"/>
      <x:c r="D13" s="141"/>
      <x:c r="E13" s="141"/>
      <x:c r="F13" s="141"/>
    </x:row>
    <x:row r="14" ht="30" customHeight="1">
      <x:c r="A14" s="141"/>
      <x:c r="B14" s="141"/>
      <x:c r="C14" s="141"/>
      <x:c r="D14" s="141"/>
      <x:c r="E14" s="141"/>
      <x:c r="F14" s="141"/>
    </x:row>
    <x:row r="15">
      <x:c r="A15" s="148"/>
      <x:c r="B15" s="148"/>
      <x:c r="C15" s="148"/>
      <x:c r="D15" s="148"/>
      <x:c r="E15" s="148"/>
      <x:c r="F15" s="148"/>
    </x:row>
    <x:row r="16">
      <x:c r="A16" s="153" t="str">
        <x:v>2. Bewertung pro Sprache</x:v>
      </x:c>
      <x:c r="B16" s="153"/>
      <x:c r="C16" s="153"/>
      <x:c r="D16" s="153"/>
      <x:c r="E16" s="153"/>
      <x:c r="F16" s="153"/>
    </x:row>
    <x:row r="17" ht="30" customHeight="1">
      <x:c r="A17" s="141" t="str">
        <x:v>EN und FR liegen nun im sehr guten Bereich. DA/ES/NL/NB/SV wurden bei Datenschutz-, TMG-, Marken- und UI-Terminologie weiter harmonisiert. Die verbleibenden Risiken sind klar eingegrenzt: dynamische Datenwerte, einzelne zugängliche Namen, Raster-Assets und locale-spezifische juristische Zitierkonventionen.</x:v>
      </x:c>
      <x:c r="B17" s="141"/>
      <x:c r="C17" s="141"/>
      <x:c r="D17" s="141"/>
      <x:c r="E17" s="141"/>
      <x:c r="F17" s="141"/>
    </x:row>
    <x:row r="18" ht="30" customHeight="1">
      <x:c r="A18" s="141"/>
      <x:c r="B18" s="141"/>
      <x:c r="C18" s="141"/>
      <x:c r="D18" s="141"/>
      <x:c r="E18" s="141"/>
      <x:c r="F18" s="141"/>
    </x:row>
    <x:row r="19">
      <x:c r="A19" s="148"/>
      <x:c r="B19" s="148"/>
      <x:c r="C19" s="148"/>
      <x:c r="D19" s="148"/>
      <x:c r="E19" s="148"/>
      <x:c r="F19" s="148"/>
    </x:row>
    <x:row r="20">
      <x:c r="A20" s="153" t="str">
        <x:v>3. Häufigste verbleibende Fehlerarten</x:v>
      </x:c>
      <x:c r="B20" s="153"/>
      <x:c r="C20" s="153"/>
      <x:c r="D20" s="153"/>
      <x:c r="E20" s="153"/>
      <x:c r="F20" s="153"/>
    </x:row>
    <x:row r="21" ht="30" customHeight="1">
      <x:c r="A21" s="141" t="str">
        <x:v>1) dynamische PocketBase-Werte außerhalb der statischen Wörterbücher; 2) Text in Rastergrafiken; 3) vereinzelte nicht abschließend verifizierte Alt-/ARIA-/Titeltexte; 4) noch nicht vollständig lokalisierte Zitatkonventionen in mehreren Datenschutzabschnitten; 5) eine technisch uneindeutige Volvo-Penta-Bezeichnung.</x:v>
      </x:c>
      <x:c r="B21" s="141"/>
      <x:c r="C21" s="141"/>
      <x:c r="D21" s="141"/>
      <x:c r="E21" s="141"/>
      <x:c r="F21" s="141"/>
    </x:row>
    <x:row r="22" ht="30" customHeight="1">
      <x:c r="A22" s="141"/>
      <x:c r="B22" s="141"/>
      <x:c r="C22" s="141"/>
      <x:c r="D22" s="141"/>
      <x:c r="E22" s="141"/>
      <x:c r="F22" s="141"/>
    </x:row>
    <x:row r="23">
      <x:c r="A23" s="148"/>
      <x:c r="B23" s="148"/>
      <x:c r="C23" s="148"/>
      <x:c r="D23" s="148"/>
      <x:c r="E23" s="148"/>
      <x:c r="F23" s="148"/>
    </x:row>
    <x:row r="24">
      <x:c r="A24" s="153" t="str">
        <x:v>4. Kritische Übersetzungsfehler</x:v>
      </x:c>
      <x:c r="B24" s="153"/>
      <x:c r="C24" s="153"/>
      <x:c r="D24" s="153"/>
      <x:c r="E24" s="153"/>
      <x:c r="F24" s="153"/>
    </x:row>
    <x:row r="25" ht="30" customHeight="1">
      <x:c r="A25" s="141" t="str">
        <x:v>Keine offenen kritischen Übersetzungsfehler. Alle sechs zuvor deutsch ausspielenden französischen Rechtsrouten wurden korrigiert und im Browser mit französischen Titeln, Metadaten und sichtbaren Inhalten geprüft.</x:v>
      </x:c>
      <x:c r="B25" s="141"/>
      <x:c r="C25" s="141"/>
      <x:c r="D25" s="141"/>
      <x:c r="E25" s="141"/>
      <x:c r="F25" s="141"/>
    </x:row>
    <x:row r="26" ht="30" customHeight="1">
      <x:c r="A26" s="141"/>
      <x:c r="B26" s="141"/>
      <x:c r="C26" s="141"/>
      <x:c r="D26" s="141"/>
      <x:c r="E26" s="141"/>
      <x:c r="F26" s="141"/>
    </x:row>
    <x:row r="27">
      <x:c r="A27" s="148"/>
      <x:c r="B27" s="148"/>
      <x:c r="C27" s="148"/>
      <x:c r="D27" s="148"/>
      <x:c r="E27" s="148"/>
      <x:c r="F27" s="148"/>
    </x:row>
    <x:row r="28">
      <x:c r="A28" s="153" t="str">
        <x:v>5. Wiederkehrende Terminologieprobleme</x:v>
      </x:c>
      <x:c r="B28" s="153"/>
      <x:c r="C28" s="153"/>
      <x:c r="D28" s="153"/>
      <x:c r="E28" s="153"/>
      <x:c r="F28" s="153"/>
    </x:row>
    <x:row r="29" ht="30" customHeight="1">
      <x:c r="A29" s="141" t="str">
        <x:v>Die wichtigsten Begriffe sind jetzt konsistent: anchor windlass/guindeau, propulseur, Händler/revendeur/dealer, Paketrabatt sowie locale-spezifische GDPR/RGPD/AVG-Bezeichnungen. Restarbeit betrifft vor allem weitere juristische Zitiermuster und dynamische Datensätze.</x:v>
      </x:c>
      <x:c r="B29" s="141"/>
      <x:c r="C29" s="141"/>
      <x:c r="D29" s="141"/>
      <x:c r="E29" s="141"/>
      <x:c r="F29" s="141"/>
    </x:row>
    <x:row r="30" ht="30" customHeight="1">
      <x:c r="A30" s="141"/>
      <x:c r="B30" s="141"/>
      <x:c r="C30" s="141"/>
      <x:c r="D30" s="141"/>
      <x:c r="E30" s="141"/>
      <x:c r="F30" s="141"/>
    </x:row>
    <x:row r="31">
      <x:c r="A31" s="148"/>
      <x:c r="B31" s="148"/>
      <x:c r="C31" s="148"/>
      <x:c r="D31" s="148"/>
      <x:c r="E31" s="148"/>
      <x:c r="F31" s="148"/>
    </x:row>
    <x:row r="32">
      <x:c r="A32" s="153" t="str">
        <x:v>6. German Leaks und Source-Mapping-Lücken</x:v>
      </x:c>
      <x:c r="B32" s="153"/>
      <x:c r="C32" s="153"/>
      <x:c r="D32" s="153"/>
      <x:c r="E32" s="153"/>
      <x:c r="F32" s="153"/>
    </x:row>
    <x:row r="33" ht="30" customHeight="1">
      <x:c r="A33" s="141" t="str">
        <x:v>Die zuvor 35 expliziten französischen LIVE-DE-FALLBACKs sind im aktiven Rechtsseitenpfad beseitigt. Die Bestätigungsseite, Installationswerte und das Kartenlabel sind verdrahtet. Verbleibende Risiken sind auf dynamische Werte und nicht durch Runtime-i18n ersetzbare Raster-Assets begrenzt.</x:v>
      </x:c>
      <x:c r="B33" s="141"/>
      <x:c r="C33" s="141"/>
      <x:c r="D33" s="141"/>
      <x:c r="E33" s="141"/>
      <x:c r="F33" s="141"/>
    </x:row>
    <x:row r="34" ht="30" customHeight="1">
      <x:c r="A34" s="141"/>
      <x:c r="B34" s="141"/>
      <x:c r="C34" s="141"/>
      <x:c r="D34" s="141"/>
      <x:c r="E34" s="141"/>
      <x:c r="F34" s="141"/>
    </x:row>
    <x:row r="35">
      <x:c r="A35" s="148"/>
      <x:c r="B35" s="148"/>
      <x:c r="C35" s="148"/>
      <x:c r="D35" s="148"/>
      <x:c r="E35" s="148"/>
      <x:c r="F35" s="148"/>
    </x:row>
    <x:row r="36">
      <x:c r="A36" s="153" t="str">
        <x:v>7. Besonders maschinell/wörtlich klingende Texte</x:v>
      </x:c>
      <x:c r="B36" s="153"/>
      <x:c r="C36" s="153"/>
      <x:c r="D36" s="153"/>
      <x:c r="E36" s="153"/>
      <x:c r="F36" s="153"/>
    </x:row>
    <x:row r="37" ht="30" customHeight="1">
      <x:c r="A37" s="141" t="str">
        <x:v>Die auffälligen EN-/FR-Marketingformulierungen, der französische Registerwechsel, der TCU-Satz in DA/NB/SV, die spanische „Otros bajo consulta“-Formulierung und mehrere juristische Germanismen wurden bereinigt.</x:v>
      </x:c>
      <x:c r="B37" s="141"/>
      <x:c r="C37" s="141"/>
      <x:c r="D37" s="141"/>
      <x:c r="E37" s="141"/>
      <x:c r="F37" s="141"/>
    </x:row>
    <x:row r="38" ht="30" customHeight="1">
      <x:c r="A38" s="141"/>
      <x:c r="B38" s="141"/>
      <x:c r="C38" s="141"/>
      <x:c r="D38" s="141"/>
      <x:c r="E38" s="141"/>
      <x:c r="F38" s="141"/>
    </x:row>
    <x:row r="39">
      <x:c r="A39" s="148"/>
      <x:c r="B39" s="148"/>
      <x:c r="C39" s="148"/>
      <x:c r="D39" s="148"/>
      <x:c r="E39" s="148"/>
      <x:c r="F39" s="148"/>
    </x:row>
    <x:row r="40">
      <x:c r="A40" s="153" t="str">
        <x:v>8. Empfehlungen für das SmartDock-Glossar</x:v>
      </x:c>
      <x:c r="B40" s="153"/>
      <x:c r="C40" s="153"/>
      <x:c r="D40" s="153"/>
      <x:c r="E40" s="153"/>
      <x:c r="F40" s="153"/>
    </x:row>
    <x:row r="41" ht="30" customHeight="1">
      <x:c r="A41" s="141" t="str">
        <x:v>Das Glossar sollte als verbindliche Quelle auch für PocketBase-Datenwerte, Rasterproduktion und juristische Zitierkonventionen genutzt werden. Die technischen Werte und Markenhinweise sollten weiterhin zentral wiederverwendet werden.</x:v>
      </x:c>
      <x:c r="B41" s="141"/>
      <x:c r="C41" s="141"/>
      <x:c r="D41" s="141"/>
      <x:c r="E41" s="141"/>
      <x:c r="F41" s="141"/>
    </x:row>
    <x:row r="42" ht="30" customHeight="1">
      <x:c r="A42" s="141"/>
      <x:c r="B42" s="141"/>
      <x:c r="C42" s="141"/>
      <x:c r="D42" s="141"/>
      <x:c r="E42" s="141"/>
      <x:c r="F42" s="141"/>
    </x:row>
    <x:row r="43">
      <x:c r="A43" s="148"/>
      <x:c r="B43" s="148"/>
      <x:c r="C43" s="148"/>
      <x:c r="D43" s="148"/>
      <x:c r="E43" s="148"/>
      <x:c r="F43" s="148"/>
    </x:row>
    <x:row r="44">
      <x:c r="A44" s="156" t="str">
        <x:v>9. Prüfhinweis zu TARGET_REVIEW</x:v>
      </x:c>
      <x:c r="B44" s="156"/>
      <x:c r="C44" s="156"/>
      <x:c r="D44" s="156"/>
      <x:c r="E44" s="156"/>
      <x:c r="F44" s="157"/>
    </x:row>
    <x:row r="45" ht="30" customHeight="1">
      <x:c r="A45" s="141" t="str">
        <x:v>TARGET_REVIEW bleibt eine separate fachliche/faktische Freigabemarkierung. Insbesondere Rechtskonformität, Produktkompatibilität, Preise, Fristen, Zertifizierungen und technische Varianten wurden sprachlich, aber nicht rechts- oder produktfachlich freigegeben.</x:v>
      </x:c>
      <x:c r="B45" s="141"/>
      <x:c r="C45" s="141"/>
      <x:c r="D45" s="141"/>
      <x:c r="E45" s="141"/>
      <x:c r="F45" s="141"/>
    </x:row>
    <x:row r="46" ht="30" customHeight="1">
      <x:c r="A46" s="141"/>
      <x:c r="B46" s="141"/>
      <x:c r="C46" s="141"/>
      <x:c r="D46" s="141"/>
      <x:c r="E46" s="141"/>
      <x:c r="F46" s="141"/>
    </x:row>
    <x:row r="47">
      <x:c r="A47" s="147"/>
      <x:c r="B47" s="147"/>
      <x:c r="C47" s="147"/>
      <x:c r="D47" s="147"/>
      <x:c r="E47" s="147"/>
      <x:c r="F47" s="151"/>
    </x:row>
    <x:row r="48">
      <x:c r="A48" s="54"/>
      <x:c r="B48" s="54"/>
      <x:c r="C48" s="54"/>
      <x:c r="D48" s="54"/>
      <x:c r="E48" s="54"/>
      <x:c r="F48" s="52"/>
    </x:row>
    <x:row r="49">
      <x:c r="A49" s="125" t="str">
        <x:v>Top 10 der wichtigsten Korrekturen</x:v>
      </x:c>
      <x:c r="B49" s="125"/>
      <x:c r="C49" s="125"/>
      <x:c r="D49" s="125"/>
      <x:c r="E49" s="125"/>
      <x:c r="F49" s="127"/>
    </x:row>
    <x:row r="50" ht="28" customHeight="1">
      <x:c r="A50" s="158" t="str">
        <x:v>Priorität</x:v>
      </x:c>
      <x:c r="B50" s="159" t="str">
        <x:v>Bereich</x:v>
      </x:c>
      <x:c r="C50" s="159" t="str">
        <x:v>Korrektur</x:v>
      </x:c>
      <x:c r="D50" s="159" t="str">
        <x:v>Schweregrad</x:v>
      </x:c>
      <x:c r="E50" s="159" t="str">
        <x:v>Warum wichtig</x:v>
      </x:c>
      <x:c r="F50" s="160" t="str">
        <x:v>Status</x:v>
      </x:c>
    </x:row>
    <x:row r="51" ht="21.600000381469727" hidden="0" customHeight="1">
      <x:c r="A51" s="161" t="n">
        <x:v>1</x:v>
      </x:c>
      <x:c r="B51" s="161" t="str">
        <x:v>P21–P26 · FR</x:v>
      </x:c>
      <x:c r="C51" s="161" t="str">
        <x:v>Sechs französische Rechtsrouten vollständig aktiv lokalisieren</x:v>
      </x:c>
      <x:c r="D51" s="161" t="str">
        <x:v>Kritisch</x:v>
      </x:c>
      <x:c r="E51" s="161" t="str">
        <x:v>Browserprüfung: französische Titel, Metadaten und sichtbare Inhalte; 153/153 gemeinsame Textblöcke gemappt.</x:v>
      </x:c>
      <x:c r="F51" s="161" t="str">
        <x:v>Erledigt</x:v>
      </x:c>
    </x:row>
    <x:row r="52" ht="21.600000381469727" hidden="0" customHeight="1">
      <x:c r="A52" s="161" t="n">
        <x:v>2</x:v>
      </x:c>
      <x:c r="B52" s="161" t="str">
        <x:v>P19 · EN/FR</x:v>
      </x:c>
      <x:c r="C52" s="161" t="str">
        <x:v>Bestätigungsseite vollständig an zentrale Übersetzungs-Keys anbinden</x:v>
      </x:c>
      <x:c r="D52" s="161" t="str">
        <x:v>Hoch</x:v>
      </x:c>
      <x:c r="E52" s="161" t="str">
        <x:v>Inklusive Fehlerzustand, Disclaimer und sprachabhängiger Home-Navigation.</x:v>
      </x:c>
      <x:c r="F52" s="161" t="str">
        <x:v>Erledigt</x:v>
      </x:c>
    </x:row>
    <x:row r="53" ht="21.600000381469727" hidden="0" customHeight="1">
      <x:c r="A53" s="161" t="n">
        <x:v>3</x:v>
      </x:c>
      <x:c r="B53" s="161" t="str">
        <x:v>P07/P08 · EN/FR</x:v>
      </x:c>
      <x:c r="C53" s="161" t="str">
        <x:v>Installations- und technische Wertdarstellungen lokalisieren</x:v>
      </x:c>
      <x:c r="D53" s="161" t="str">
        <x:v>Hoch</x:v>
      </x:c>
      <x:c r="E53" s="161" t="str">
        <x:v>Temperaturen, Zeiten, Gewichte und französische Guide-Titel korrigiert.</x:v>
      </x:c>
      <x:c r="F53" s="161" t="str">
        <x:v>Erledigt</x:v>
      </x:c>
    </x:row>
    <x:row r="54" ht="21.600000381469727" hidden="0" customHeight="1">
      <x:c r="A54" s="161" t="n">
        <x:v>4</x:v>
      </x:c>
      <x:c r="B54" s="161" t="str">
        <x:v>P01/P02/P06 · EN/FR</x:v>
      </x:c>
      <x:c r="C54" s="161" t="str">
        <x:v>Claims, Register und technische App-Terminologie bereinigen</x:v>
      </x:c>
      <x:c r="D54" s="161" t="str">
        <x:v>Hoch</x:v>
      </x:c>
      <x:c r="E54" s="161" t="str">
        <x:v>Übertreibungen, Ankerwinde, propulseur und unidiomatische Formulierungen korrigiert.</x:v>
      </x:c>
      <x:c r="F54" s="161" t="str">
        <x:v>Erledigt</x:v>
      </x:c>
    </x:row>
    <x:row r="55" ht="15" hidden="0" customHeight="1">
      <x:c r="A55" s="161" t="n">
        <x:v>5</x:v>
      </x:c>
      <x:c r="B55" s="161" t="str">
        <x:v>P13 · EN/FR</x:v>
      </x:c>
      <x:c r="C55" s="161" t="str">
        <x:v>Kartenlabel sprachabhängig verdrahten</x:v>
      </x:c>
      <x:c r="D55" s="161" t="str">
        <x:v>Hoch</x:v>
      </x:c>
      <x:c r="E55" s="161" t="str">
        <x:v>Your location / Votre position über stabile Übersetzungs-ID.</x:v>
      </x:c>
      <x:c r="F55" s="161" t="str">
        <x:v>Erledigt</x:v>
      </x:c>
    </x:row>
    <x:row r="56" ht="21.600000381469727" hidden="0" customHeight="1">
      <x:c r="A56" s="161" t="n">
        <x:v>6</x:v>
      </x:c>
      <x:c r="B56" s="161" t="str">
        <x:v>P25/P26 · DA/ES/NL/NB/SV</x:v>
      </x:c>
      <x:c r="C56" s="161" t="str">
        <x:v>Rechtsbegriffe, TMG-Zitate und DPA-/Markentexte harmonisieren</x:v>
      </x:c>
      <x:c r="D56" s="161" t="str">
        <x:v>Hoch</x:v>
      </x:c>
      <x:c r="E56" s="161" t="str">
        <x:v>Zentrale Befunde korrigiert; weitere Zitatkonventionen bleiben als Restarbeit.</x:v>
      </x:c>
      <x:c r="F56" s="161" t="str">
        <x:v>Teilweise erledigt</x:v>
      </x:c>
    </x:row>
    <x:row r="57" ht="21.600000381469727" hidden="0" customHeight="1">
      <x:c r="A57" s="162" t="n">
        <x:v>7</x:v>
      </x:c>
      <x:c r="B57" s="162" t="str">
        <x:v>P20 · EN/FR</x:v>
      </x:c>
      <x:c r="C57" s="162" t="str">
        <x:v>Dynamische technische Datenwerte normalisieren</x:v>
      </x:c>
      <x:c r="D57" s="162" t="str">
        <x:v>Hoch</x:v>
      </x:c>
      <x:c r="E57" s="162" t="str">
        <x:v>Statische UI ist lokalisiert; echte PocketBase-Datensätze müssen noch vollständig geprüft werden.</x:v>
      </x:c>
      <x:c r="F57" s="162" t="str">
        <x:v>Offen</x:v>
      </x:c>
    </x:row>
    <x:row r="58" ht="21.600000381469727" hidden="0" customHeight="1">
      <x:c r="A58" s="161" t="n">
        <x:v>8</x:v>
      </x:c>
      <x:c r="B58" s="161" t="str">
        <x:v>P27 · EN/FR</x:v>
      </x:c>
      <x:c r="C58" s="161" t="str">
        <x:v>Verbleibende Alt-/ARIA-/Titeltexte verifizieren</x:v>
      </x:c>
      <x:c r="D58" s="161" t="str">
        <x:v>Mittel</x:v>
      </x:c>
      <x:c r="E58" s="161" t="str">
        <x:v>Rechtsseiten und Kartenlabel korrigiert; Assetzuordnung noch nicht vollständig abgeschlossen.</x:v>
      </x:c>
      <x:c r="F58" s="161" t="str">
        <x:v>Offen</x:v>
      </x:c>
    </x:row>
    <x:row r="59" ht="15" hidden="0" customHeight="1">
      <x:c r="A59" s="161" t="n">
        <x:v>9</x:v>
      </x:c>
      <x:c r="B59" s="161" t="str">
        <x:v>P28 · EN/FR</x:v>
      </x:c>
      <x:c r="C59" s="161" t="str">
        <x:v>Lokalisierte Rastervarianten produzieren</x:v>
      </x:c>
      <x:c r="D59" s="161" t="str">
        <x:v>Hoch</x:v>
      </x:c>
      <x:c r="E59" s="161" t="str">
        <x:v>Bildtext kann nicht durch Runtime-i18n ersetzt werden.</x:v>
      </x:c>
      <x:c r="F59" s="161" t="str">
        <x:v>Offen</x:v>
      </x:c>
    </x:row>
    <x:row r="60" ht="15" hidden="0" customHeight="1">
      <x:c r="A60" s="161" t="n">
        <x:v>10</x:v>
      </x:c>
      <x:c r="B60" s="161" t="str">
        <x:v>P16 · technische Option</x:v>
      </x:c>
      <x:c r="C60" s="161" t="str">
        <x:v>„Joystick EVC 2.0 &amp; D E“ fachlich klären</x:v>
      </x:c>
      <x:c r="D60" s="161" t="str">
        <x:v>SOURCE_REVIEW_REQUIRED</x:v>
      </x:c>
      <x:c r="E60" s="161" t="str">
        <x:v>Modell-/Variantenbezeichnung ohne Produktfreigabe nicht sicher interpretierbar.</x:v>
      </x:c>
      <x:c r="F60" s="161" t="str">
        <x:v>Klärung nötig</x:v>
      </x:c>
    </x:row>
    <x:row r="61">
      <x:c r="A61" s="52"/>
      <x:c r="B61" s="52"/>
      <x:c r="C61" s="52"/>
      <x:c r="D61" s="52"/>
      <x:c r="E61" s="52"/>
      <x:c r="F61" s="52"/>
    </x:row>
    <x:row r="62">
      <x:c r="A62" s="129" t="str">
        <x:v>Unsicherheiten und Freigabestatus</x:v>
      </x:c>
      <x:c r="B62" s="129"/>
      <x:c r="C62" s="129"/>
      <x:c r="D62" s="129"/>
      <x:c r="E62" s="129"/>
      <x:c r="F62" s="129"/>
    </x:row>
    <x:row r="63" ht="28" customHeight="1">
      <x:c r="A63" s="54" t="str">
        <x:v>CONTEXT_REQUIRED: 0. SOURCE_REVIEW_REQUIRED: 1 – „Joystick EVC 2.0 &amp; D E (Volvo Penta)“ bleibt bis zur technischen Klärung unverändert. Keine offenen kritischen Sprachfehler und keine bestätigten französischen LIVE-DE-FALLBACKs; verbleibende Restarbeit ist in Fehlerliste und Top-10-Tabelle eingegrenzt.</x:v>
      </x:c>
      <x:c r="B63" s="54"/>
      <x:c r="C63" s="54"/>
      <x:c r="D63" s="54"/>
      <x:c r="E63" s="54"/>
      <x:c r="F63" s="54"/>
    </x:row>
    <x:row r="64" ht="28" customHeight="1">
      <x:c r="A64" s="54"/>
      <x:c r="B64" s="54"/>
      <x:c r="C64" s="54"/>
      <x:c r="D64" s="54"/>
      <x:c r="E64" s="54"/>
      <x:c r="F64" s="54"/>
    </x:row>
    <x:row r="65" ht="28" customHeight="1">
      <x:c r="A65" s="54"/>
      <x:c r="B65" s="54"/>
      <x:c r="C65" s="54"/>
      <x:c r="D65" s="54"/>
      <x:c r="E65" s="54"/>
      <x:c r="F65" s="54"/>
    </x:row>
  </x:sheetData>
  <x:mergeCells>
    <x:mergeCell ref="A1:F1"/>
    <x:mergeCell ref="A49:F49"/>
    <x:mergeCell ref="A62:F62"/>
    <x:mergeCell ref="A63:F65"/>
    <x:mergeCell ref="A12:F12"/>
    <x:mergeCell ref="A13:F14"/>
    <x:mergeCell ref="A16:F16"/>
    <x:mergeCell ref="A17:F18"/>
    <x:mergeCell ref="A20:F20"/>
    <x:mergeCell ref="A21:F22"/>
    <x:mergeCell ref="A24:F24"/>
    <x:mergeCell ref="A25:F26"/>
    <x:mergeCell ref="A28:F28"/>
    <x:mergeCell ref="A29:F30"/>
    <x:mergeCell ref="A32:F32"/>
    <x:mergeCell ref="A33:F34"/>
    <x:mergeCell ref="A36:F36"/>
    <x:mergeCell ref="A37:F38"/>
    <x:mergeCell ref="A40:F40"/>
    <x:mergeCell ref="A41:F42"/>
    <x:mergeCell ref="A44:F44"/>
    <x:mergeCell ref="A45:F46"/>
    <x:mergeCell ref="A63:F64"/>
  </x:mergeCells>
  <x:pageMargins left="0.7" right="0.7" top="0.75" bottom="0.75" header="0.3" footer="0.3"/>
</x:worksheet>
</file>