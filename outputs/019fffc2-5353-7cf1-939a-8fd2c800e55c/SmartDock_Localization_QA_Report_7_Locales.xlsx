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e258c8d59d486c" /></Relationships>
</file>

<file path=xl/workbook.xml><?xml version="1.0" encoding="utf-8"?>
<x:workbook xmlns:x="http://schemas.openxmlformats.org/spreadsheetml/2006/main">
  <x:sheets>
    <x:sheet xmlns:r="http://schemas.openxmlformats.org/officeDocument/2006/relationships" name="Prüfumfang" sheetId="1" r:id="R295fac420a9341d3"/>
    <x:sheet xmlns:r="http://schemas.openxmlformats.org/officeDocument/2006/relationships" name="Fehlerliste" sheetId="2" r:id="R74bccbebda04456d"/>
    <x:sheet xmlns:r="http://schemas.openxmlformats.org/officeDocument/2006/relationships" name="Seitenbewertungen" sheetId="3" r:id="R8d20983fe85d4359"/>
    <x:sheet xmlns:r="http://schemas.openxmlformats.org/officeDocument/2006/relationships" name="Glossar" sheetId="4" r:id="R71e8e8a077eb4faa"/>
    <x:sheet xmlns:r="http://schemas.openxmlformats.org/officeDocument/2006/relationships" name="Abschlussbericht" sheetId="5" r:id="R35af2a143e31444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16">
    <x:font>
      <x:sz val="11"/>
      <x:name val="Carlito"/>
    </x:font>
    <x:font>
      <x:b/>
      <x:sz val="16"/>
      <x:color rgb="FFFFFFFF"/>
      <x:name val="Carlito"/>
    </x:font>
    <x:font>
      <x:b/>
      <x:sz val="11"/>
      <x:color rgb="FF17365D"/>
      <x:name val="Carlito"/>
    </x:font>
    <x:font>
      <x:b/>
      <x:sz val="11"/>
      <x:color rgb="FFFFFFFF"/>
      <x:name val="Carlito"/>
    </x:font>
    <x:font>
      <x:b/>
      <x:sz val="12"/>
      <x:name val="Carlito"/>
    </x:font>
    <x:font>
      <x:b/>
      <x:sz val="11"/>
      <x:color rgb="FF7F6000"/>
      <x:name val="Carlito"/>
    </x:font>
    <x:font>
      <x:b/>
      <x:sz val="16"/>
      <x:color rgb="FFFFFFFF"/>
      <x:name val="Arial"/>
    </x:font>
    <x:font>
      <x:sz val="11"/>
      <x:name val="Arial"/>
    </x:font>
    <x:font>
      <x:b/>
      <x:sz val="11"/>
      <x:color rgb="FF17365D"/>
      <x:name val="Arial"/>
    </x:font>
    <x:font>
      <x:b/>
      <x:sz val="11"/>
      <x:color rgb="FFFFFFFF"/>
      <x:name val="Arial"/>
    </x:font>
    <x:font>
      <x:sz val="9"/>
      <x:name val="Carlito"/>
    </x:font>
    <x:font>
      <x:sz val="9"/>
      <x:name val="Arial"/>
    </x:font>
    <x:font>
      <x:b/>
      <x:sz val="11"/>
      <x:name val="Carlito"/>
    </x:font>
    <x:font>
      <x:b/>
      <x:sz val="12"/>
      <x:name val="Arial"/>
    </x:font>
    <x:font>
      <x:b/>
      <x:sz val="11"/>
      <x:name val="Arial"/>
    </x:font>
    <x:font>
      <x:b/>
      <x:sz val="11"/>
      <x:color rgb="FF7F6000"/>
      <x:name val="Arial"/>
    </x:font>
  </x:fonts>
  <x:fills count="1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FFF2CC"/>
      </x:patternFill>
    </x:fill>
    <x:fill>
      <x:patternFill patternType="solid">
        <x:fgColor rgb="FFD9EAF7"/>
      </x:patternFill>
    </x:fill>
    <x:fill>
      <x:patternFill patternType="solid">
        <x:fgColor rgb="FF1D3D64"/>
      </x:patternFill>
    </x:fill>
    <x:fill>
      <x:patternFill patternType="solid">
        <x:fgColor rgb="FF2F75B5"/>
      </x:patternFill>
    </x:fill>
    <x:fill>
      <x:patternFill patternType="solid">
        <x:fgColor rgb="FFF4CCCC"/>
      </x:patternFill>
    </x:fill>
    <x:fill>
      <x:patternFill patternType="solid">
        <x:fgColor rgb="FFFCE8E6"/>
      </x:patternFill>
    </x:fill>
    <x:fill>
      <x:patternFill patternType="solid">
        <x:fgColor rgb="FFFFF2CC"/>
      </x:patternFill>
    </x:fill>
    <x:fill>
      <x:patternFill patternType="solid">
        <x:fgColor rgb="FFE2F0D9"/>
      </x:patternFill>
    </x:fill>
    <x:fill>
      <x:patternFill patternType="solid">
        <x:fgColor rgb="FFCFEAF6"/>
      </x:patternFill>
    </x:fill>
    <x:fill>
      <x:patternFill patternType="solid">
        <x:fgColor rgb="FFFFFFFF"/>
      </x:patternFill>
    </x:fill>
  </x:fills>
  <x:borders count="5">
    <x:border/>
    <x:border/>
    <x:border>
      <x:left style="thin">
        <x:color rgb="FF9EADBC"/>
      </x:left>
      <x:top style="thin">
        <x:color rgb="FF9EADBC"/>
      </x:top>
      <x:bottom style="thin">
        <x:color rgb="FF9EADBC"/>
      </x:bottom>
    </x:border>
    <x:border>
      <x:top style="thin">
        <x:color rgb="FF9EADBC"/>
      </x:top>
      <x:bottom style="thin">
        <x:color rgb="FF9EADBC"/>
      </x:bottom>
    </x:border>
    <x:border>
      <x:right style="thin">
        <x:color rgb="FF9EADBC"/>
      </x:right>
      <x:top style="thin">
        <x:color rgb="FF9EADBC"/>
      </x:top>
      <x:bottom style="thin">
        <x:color rgb="FF9EADBC"/>
      </x:bottom>
    </x:border>
  </x:borders>
  <x:cellStyleXfs count="1">
    <x:xf numFmtId="0" fontId="0" fillId="0" borderId="0"/>
  </x:cellStyleXfs>
  <x:cellXfs count="1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200" fontId="0" fillId="0" borderId="0" xfId="0" applyNumberFormat="1" applyFont="1" applyFill="1" applyBorder="1" applyAlignment="1">
      <x:alignment horizontal="center" vertical="top" wrapText="1"/>
    </x:xf>
    <x:xf numFmtId="200" fontId="0" fillId="0" borderId="1" xfId="0" applyNumberFormat="1" applyFont="1" applyFill="1" applyBorder="1" applyAlignment="1">
      <x:alignment horizontal="center" vertical="top" wrapText="1"/>
    </x:xf>
    <x:xf numFmtId="0" fontId="4" fillId="0" borderId="0" xfId="0" applyNumberFormat="1" applyFont="1" applyFill="1" applyBorder="1"/>
    <x:xf numFmtId="0" fontId="4" fillId="0" borderId="0" xfId="0" applyNumberFormat="1" applyFont="1" applyFill="1" applyBorder="1" applyAlignment="1">
      <x:alignment horizontal="center"/>
    </x:xf>
    <x:xf numFmtId="0" fontId="4" fillId="0" borderId="1" xfId="0" applyNumberFormat="1" applyFont="1" applyFill="1" applyBorder="1"/>
    <x:xf numFmtId="0" fontId="4" fillId="0" borderId="1" xfId="0" applyNumberFormat="1" applyFont="1" applyFill="1" applyBorder="1" applyAlignment="1">
      <x:alignment horizontal="center"/>
    </x:xf>
    <x:xf numFmtId="200" fontId="4" fillId="0" borderId="0" xfId="0" applyNumberFormat="1" applyFont="1" applyFill="1" applyBorder="1" applyAlignment="1">
      <x:alignment horizontal="center"/>
    </x:xf>
    <x:xf numFmtId="200" fontId="4" fillId="0" borderId="1" xfId="0" applyNumberFormat="1" applyFont="1" applyFill="1" applyBorder="1" applyAlignment="1">
      <x:alignment horizontal="center"/>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0" fillId="5" borderId="1" xfId="0" applyNumberFormat="1" applyFont="1" applyFill="1" applyBorder="1"/>
    <x:xf numFmtId="0" fontId="5" fillId="5" borderId="1"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1" fillId="7" borderId="0" xfId="0" applyNumberFormat="1" applyFont="1" applyFill="1" applyBorder="1" applyAlignment="1">
      <x:alignment vertical="center"/>
    </x:xf>
    <x:xf numFmtId="0" fontId="2" fillId="6" borderId="0" xfId="0" applyNumberFormat="1" applyFont="1" applyFill="1" applyBorder="1" applyAlignment="1">
      <x:alignment vertical="center"/>
    </x:xf>
    <x:xf numFmtId="0" fontId="2" fillId="6" borderId="0" xfId="0" applyNumberFormat="1" applyFont="1" applyFill="1" applyBorder="1" applyAlignment="1">
      <x:alignment vertical="center" wrapText="1"/>
    </x:xf>
    <x:xf numFmtId="0" fontId="3" fillId="8" borderId="0" xfId="0" applyNumberFormat="1" applyFont="1" applyFill="1" applyBorder="1" applyAlignment="1">
      <x:alignment horizontal="center" vertical="center" wrapText="1"/>
    </x:xf>
    <x:xf numFmtId="0" fontId="6" fillId="7" borderId="0" xfId="0" applyNumberFormat="1" applyFont="1" applyFill="1" applyBorder="1" applyAlignment="1">
      <x:alignment vertical="center"/>
    </x:xf>
    <x:xf numFmtId="0" fontId="7" fillId="0" borderId="0" xfId="0" applyNumberFormat="1" applyFont="1" applyFill="1" applyBorder="1"/>
    <x:xf numFmtId="0" fontId="8" fillId="6" borderId="0" xfId="0" applyNumberFormat="1" applyFont="1" applyFill="1" applyBorder="1" applyAlignment="1">
      <x:alignment vertical="center" wrapText="1"/>
    </x:xf>
    <x:xf numFmtId="0" fontId="7" fillId="0" borderId="0" xfId="0" applyNumberFormat="1" applyFont="1" applyFill="1" applyBorder="1" applyAlignment="1">
      <x:alignment vertical="top" wrapText="1"/>
    </x:xf>
    <x:xf numFmtId="0" fontId="9" fillId="8" borderId="0" xfId="0" applyNumberFormat="1" applyFont="1" applyFill="1" applyBorder="1" applyAlignment="1">
      <x:alignment horizontal="center" vertical="center" wrapText="1"/>
    </x:xf>
    <x:xf numFmtId="0" fontId="8" fillId="6" borderId="0" xfId="0" applyNumberFormat="1" applyFont="1" applyFill="1" applyBorder="1" applyAlignment="1">
      <x:alignment wrapText="1"/>
    </x:xf>
    <x:xf numFmtId="0" fontId="7" fillId="0" borderId="0" xfId="0" applyNumberFormat="1" applyFont="1" applyFill="1" applyBorder="1" applyAlignment="1">
      <x:alignment wrapText="1"/>
    </x:xf>
    <x:xf numFmtId="0" fontId="3" fillId="8" borderId="2" xfId="0" applyNumberFormat="1" applyFont="1" applyFill="1" applyBorder="1" applyAlignment="1">
      <x:alignment horizontal="center" vertical="center" wrapText="1"/>
    </x:xf>
    <x:xf numFmtId="0" fontId="3" fillId="8" borderId="3" xfId="0" applyNumberFormat="1" applyFont="1" applyFill="1" applyBorder="1" applyAlignment="1">
      <x:alignment horizontal="center" vertical="center" wrapText="1"/>
    </x:xf>
    <x:xf numFmtId="0" fontId="3" fillId="8" borderId="4" xfId="0" applyNumberFormat="1" applyFont="1" applyFill="1" applyBorder="1" applyAlignment="1">
      <x:alignment horizontal="center" vertical="center" wrapText="1"/>
    </x:xf>
    <x:xf numFmtId="0" fontId="0" fillId="9" borderId="0"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10" fillId="10" borderId="0" xfId="0" applyNumberFormat="1" applyFont="1" applyFill="1" applyBorder="1" applyAlignment="1">
      <x:alignment vertical="top" wrapText="1"/>
    </x:xf>
    <x:xf numFmtId="0" fontId="0" fillId="10" borderId="0" xfId="0" applyNumberFormat="1" applyFont="1" applyFill="1" applyBorder="1"/>
    <x:xf numFmtId="0" fontId="10" fillId="10" borderId="0" xfId="0" applyNumberFormat="1" applyFont="1" applyFill="1" applyBorder="1"/>
    <x:xf numFmtId="0" fontId="10" fillId="10" borderId="0" xfId="0" applyNumberFormat="1" applyFont="1" applyFill="1" applyBorder="1" applyAlignment="1">
      <x:alignment wrapText="1"/>
    </x:xf>
    <x:xf numFmtId="0" fontId="0" fillId="11" borderId="0" xfId="0" applyNumberFormat="1" applyFont="1" applyFill="1" applyBorder="1"/>
    <x:xf numFmtId="0" fontId="10" fillId="11" borderId="0" xfId="0" applyNumberFormat="1" applyFont="1" applyFill="1" applyBorder="1"/>
    <x:xf numFmtId="0" fontId="10" fillId="11" borderId="0" xfId="0" applyNumberFormat="1" applyFont="1" applyFill="1" applyBorder="1" applyAlignment="1">
      <x:alignment wrapText="1"/>
    </x:xf>
    <x:xf numFmtId="0" fontId="10" fillId="11" borderId="0" xfId="0" applyNumberFormat="1" applyFont="1" applyFill="1" applyBorder="1" applyAlignment="1">
      <x:alignment vertical="top" wrapText="1"/>
    </x:xf>
    <x:xf numFmtId="0" fontId="0" fillId="12" borderId="0" xfId="0" applyNumberFormat="1" applyFont="1" applyFill="1" applyBorder="1"/>
    <x:xf numFmtId="0" fontId="10" fillId="12" borderId="0" xfId="0" applyNumberFormat="1" applyFont="1" applyFill="1" applyBorder="1"/>
    <x:xf numFmtId="0" fontId="10" fillId="12" borderId="0" xfId="0" applyNumberFormat="1" applyFont="1" applyFill="1" applyBorder="1" applyAlignment="1">
      <x:alignment wrapText="1"/>
    </x:xf>
    <x:xf numFmtId="0" fontId="10" fillId="12" borderId="0" xfId="0" applyNumberFormat="1" applyFont="1" applyFill="1" applyBorder="1" applyAlignment="1">
      <x:alignment vertical="top" wrapText="1"/>
    </x:xf>
    <x:xf numFmtId="0" fontId="9" fillId="8" borderId="2" xfId="0" applyNumberFormat="1" applyFont="1" applyFill="1" applyBorder="1" applyAlignment="1">
      <x:alignment horizontal="center" vertical="center" wrapText="1"/>
    </x:xf>
    <x:xf numFmtId="0" fontId="9" fillId="8" borderId="3" xfId="0" applyNumberFormat="1" applyFont="1" applyFill="1" applyBorder="1" applyAlignment="1">
      <x:alignment horizontal="center" vertical="center" wrapText="1"/>
    </x:xf>
    <x:xf numFmtId="0" fontId="9" fillId="8" borderId="4" xfId="0" applyNumberFormat="1" applyFont="1" applyFill="1" applyBorder="1" applyAlignment="1">
      <x:alignment horizontal="center" vertical="center" wrapText="1"/>
    </x:xf>
    <x:xf numFmtId="0" fontId="11" fillId="9" borderId="0" xfId="0" applyNumberFormat="1" applyFont="1" applyFill="1" applyBorder="1" applyAlignment="1">
      <x:alignment vertical="top" wrapText="1"/>
    </x:xf>
    <x:xf numFmtId="0" fontId="11" fillId="10" borderId="0" xfId="0" applyNumberFormat="1" applyFont="1" applyFill="1" applyBorder="1" applyAlignment="1">
      <x:alignment vertical="top" wrapText="1"/>
    </x:xf>
    <x:xf numFmtId="0" fontId="11" fillId="11" borderId="0"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0" fillId="13" borderId="0" xfId="0" applyNumberFormat="1" applyFont="1" applyFill="1" applyBorder="1" applyAlignment="1">
      <x:alignment vertical="top" wrapText="1"/>
    </x:xf>
    <x:xf numFmtId="200" fontId="0" fillId="13" borderId="0" xfId="0" applyNumberFormat="1" applyFont="1" applyFill="1" applyBorder="1" applyAlignment="1">
      <x:alignment horizontal="center" vertical="top" wrapText="1"/>
    </x:xf>
    <x:xf numFmtId="0" fontId="10" fillId="13" borderId="0" xfId="0" applyNumberFormat="1" applyFont="1" applyFill="1" applyBorder="1" applyAlignment="1">
      <x:alignment vertical="top" wrapText="1"/>
    </x:xf>
    <x:xf numFmtId="200" fontId="10" fillId="13" borderId="0" xfId="0" applyNumberFormat="1" applyFont="1" applyFill="1" applyBorder="1" applyAlignment="1">
      <x:alignment horizontal="center" vertical="top" wrapText="1"/>
    </x:xf>
    <x:xf numFmtId="0" fontId="0" fillId="14" borderId="0" xfId="0" applyNumberFormat="1" applyFont="1" applyFill="1" applyBorder="1" applyAlignment="1">
      <x:alignment vertical="top" wrapText="1"/>
    </x:xf>
    <x:xf numFmtId="200" fontId="0" fillId="14" borderId="0" xfId="0" applyNumberFormat="1" applyFont="1" applyFill="1" applyBorder="1" applyAlignment="1">
      <x:alignment horizontal="center" vertical="top" wrapText="1"/>
    </x:xf>
    <x:xf numFmtId="0" fontId="10" fillId="14" borderId="0" xfId="0" applyNumberFormat="1" applyFont="1" applyFill="1" applyBorder="1" applyAlignment="1">
      <x:alignment vertical="top" wrapText="1"/>
    </x:xf>
    <x:xf numFmtId="200" fontId="10" fillId="14" borderId="0" xfId="0" applyNumberFormat="1" applyFont="1" applyFill="1" applyBorder="1" applyAlignment="1">
      <x:alignment horizontal="center" vertical="top" wrapText="1"/>
    </x:xf>
    <x:xf numFmtId="0" fontId="0" fillId="13" borderId="0" xfId="0" applyNumberFormat="1" applyFont="1" applyFill="1" applyBorder="1"/>
    <x:xf numFmtId="0" fontId="10" fillId="13" borderId="0" xfId="0" applyNumberFormat="1" applyFont="1" applyFill="1" applyBorder="1"/>
    <x:xf numFmtId="0" fontId="10" fillId="13" borderId="0" xfId="0" applyNumberFormat="1" applyFont="1" applyFill="1" applyBorder="1" applyAlignment="1">
      <x:alignment wrapText="1"/>
    </x:xf>
    <x:xf numFmtId="0" fontId="0" fillId="14" borderId="0" xfId="0" applyNumberFormat="1" applyFont="1" applyFill="1" applyBorder="1"/>
    <x:xf numFmtId="0" fontId="10" fillId="14" borderId="0" xfId="0" applyNumberFormat="1" applyFont="1" applyFill="1" applyBorder="1"/>
    <x:xf numFmtId="0" fontId="10" fillId="14" borderId="0" xfId="0" applyNumberFormat="1" applyFont="1" applyFill="1" applyBorder="1" applyAlignment="1">
      <x:alignment wrapText="1"/>
    </x:xf>
    <x:xf numFmtId="0" fontId="11" fillId="13" borderId="0" xfId="0" applyNumberFormat="1" applyFont="1" applyFill="1" applyBorder="1" applyAlignment="1">
      <x:alignment vertical="top" wrapText="1"/>
    </x:xf>
    <x:xf numFmtId="200" fontId="11" fillId="13" borderId="0" xfId="0" applyNumberFormat="1" applyFont="1" applyFill="1" applyBorder="1" applyAlignment="1">
      <x:alignment horizontal="center" vertical="top" wrapText="1"/>
    </x:xf>
    <x:xf numFmtId="0" fontId="11" fillId="14" borderId="0" xfId="0" applyNumberFormat="1" applyFont="1" applyFill="1" applyBorder="1" applyAlignment="1">
      <x:alignment vertical="top" wrapText="1"/>
    </x:xf>
    <x:xf numFmtId="200" fontId="11" fillId="14" borderId="0" xfId="0" applyNumberFormat="1" applyFont="1" applyFill="1" applyBorder="1" applyAlignment="1">
      <x:alignment horizontal="center" vertical="top" wrapText="1"/>
    </x:xf>
    <x:xf numFmtId="0" fontId="12" fillId="0" borderId="0" xfId="0" applyNumberFormat="1" applyFont="1" applyFill="1" applyBorder="1"/>
    <x:xf numFmtId="0" fontId="12" fillId="0" borderId="0" xfId="0" applyNumberFormat="1" applyFont="1" applyFill="1" applyBorder="1" applyAlignment="1">
      <x:alignment horizontal="center"/>
    </x:xf>
    <x:xf numFmtId="0" fontId="0" fillId="6"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3" fillId="6" borderId="0" xfId="0" applyNumberFormat="1" applyFont="1" applyFill="1" applyBorder="1" applyAlignment="1">
      <x:alignment horizontal="center" vertical="center" wrapText="1"/>
    </x:xf>
    <x:xf numFmtId="0" fontId="2" fillId="6" borderId="0" xfId="0" applyNumberFormat="1" applyFont="1" applyFill="1" applyBorder="1" applyAlignment="1">
      <x:alignment horizontal="center" vertical="center" wrapText="1"/>
    </x:xf>
    <x:xf numFmtId="0" fontId="0" fillId="8" borderId="0" xfId="0" applyNumberFormat="1" applyFont="1" applyFill="1" applyBorder="1" applyAlignment="1">
      <x:alignment vertical="top" wrapText="1"/>
    </x:xf>
    <x:xf numFmtId="0" fontId="0" fillId="8" borderId="0" xfId="0" applyNumberFormat="1" applyFont="1" applyFill="1" applyBorder="1"/>
    <x:xf numFmtId="0" fontId="3" fillId="8" borderId="0" xfId="0" applyNumberFormat="1" applyFont="1" applyFill="1" applyBorder="1" applyAlignment="1">
      <x:alignment vertical="top" wrapText="1"/>
    </x:xf>
    <x:xf numFmtId="0" fontId="3" fillId="8" borderId="0" xfId="0" applyNumberFormat="1" applyFont="1" applyFill="1" applyBorder="1"/>
    <x:xf numFmtId="0" fontId="3" fillId="8" borderId="2" xfId="0" applyNumberFormat="1" applyFont="1" applyFill="1" applyBorder="1" applyAlignment="1">
      <x:alignment vertical="top" wrapText="1"/>
    </x:xf>
    <x:xf numFmtId="0" fontId="3" fillId="8" borderId="3" xfId="0" applyNumberFormat="1" applyFont="1" applyFill="1" applyBorder="1" applyAlignment="1">
      <x:alignment vertical="top" wrapText="1"/>
    </x:xf>
    <x:xf numFmtId="0" fontId="3" fillId="8" borderId="4" xfId="0" applyNumberFormat="1" applyFont="1" applyFill="1" applyBorder="1"/>
    <x:xf numFmtId="0" fontId="3" fillId="8" borderId="4" xfId="0" applyNumberFormat="1" applyFont="1" applyFill="1" applyBorder="1" applyAlignment="1">
      <x:alignment wrapText="1"/>
    </x:xf>
    <x:xf numFmtId="0" fontId="3" fillId="8" borderId="2" xfId="0" applyNumberFormat="1" applyFont="1" applyFill="1" applyBorder="1" applyAlignment="1">
      <x:alignment horizontal="center" vertical="top" wrapText="1"/>
    </x:xf>
    <x:xf numFmtId="0" fontId="3" fillId="8" borderId="3" xfId="0" applyNumberFormat="1" applyFont="1" applyFill="1" applyBorder="1" applyAlignment="1">
      <x:alignment horizontal="center" vertical="top" wrapText="1"/>
    </x:xf>
    <x:xf numFmtId="0" fontId="3" fillId="8" borderId="4" xfId="0" applyNumberFormat="1" applyFont="1" applyFill="1" applyBorder="1" applyAlignment="1">
      <x:alignment horizontal="center" wrapText="1"/>
    </x:xf>
    <x:xf numFmtId="0" fontId="5" fillId="5" borderId="0" xfId="0" applyNumberFormat="1" applyFont="1" applyFill="1" applyBorder="1" applyAlignment="1">
      <x:alignment wrapText="1"/>
    </x:xf>
    <x:xf numFmtId="0" fontId="5" fillId="5" borderId="0" xfId="0" applyNumberFormat="1" applyFont="1" applyFill="1" applyBorder="1" applyAlignment="1">
      <x:alignment vertical="top" wrapText="1"/>
    </x:xf>
    <x:xf numFmtId="0" fontId="5" fillId="11" borderId="0" xfId="0" applyNumberFormat="1" applyFont="1" applyFill="1" applyBorder="1"/>
    <x:xf numFmtId="200" fontId="13" fillId="0" borderId="0" xfId="0" applyNumberFormat="1" applyFont="1" applyFill="1" applyBorder="1" applyAlignment="1">
      <x:alignment horizontal="center"/>
    </x:xf>
    <x:xf numFmtId="201" fontId="7" fillId="0" borderId="0" xfId="0" applyNumberFormat="1" applyFont="1" applyFill="1" applyBorder="1" applyAlignment="1">
      <x:alignment vertical="top" wrapText="1"/>
    </x:xf>
    <x:xf numFmtId="0" fontId="14" fillId="0" borderId="0" xfId="0" applyNumberFormat="1" applyFont="1" applyFill="1" applyBorder="1" applyAlignment="1">
      <x:alignment horizontal="center"/>
    </x:xf>
    <x:xf numFmtId="0" fontId="8" fillId="3" borderId="0" xfId="0" applyNumberFormat="1" applyFont="1" applyFill="1" applyBorder="1" applyAlignment="1">
      <x:alignment vertical="center"/>
    </x:xf>
    <x:xf numFmtId="0" fontId="8" fillId="6" borderId="0" xfId="0" applyNumberFormat="1" applyFont="1" applyFill="1" applyBorder="1" applyAlignment="1">
      <x:alignment vertical="top" wrapText="1"/>
    </x:xf>
    <x:xf numFmtId="0" fontId="8" fillId="6" borderId="0" xfId="0" applyNumberFormat="1" applyFont="1" applyFill="1" applyBorder="1" applyAlignment="1">
      <x:alignment horizontal="center" vertical="center" wrapText="1"/>
    </x:xf>
    <x:xf numFmtId="0" fontId="8" fillId="6" borderId="0" xfId="0" applyNumberFormat="1" applyFont="1" applyFill="1" applyBorder="1"/>
    <x:xf numFmtId="0" fontId="15" fillId="5" borderId="0" xfId="0" applyNumberFormat="1" applyFont="1" applyFill="1" applyBorder="1" applyAlignment="1">
      <x:alignment vertical="top" wrapText="1"/>
    </x:xf>
    <x:xf numFmtId="0" fontId="15" fillId="11" borderId="0" xfId="0" applyNumberFormat="1" applyFont="1" applyFill="1" applyBorder="1"/>
  </x:cellXfs>
  <x:cellStyles count="1">
    <x:cellStyle name="Normal" xfId="0"/>
  </x:cellStyles>
  <x:dxfs count="4">
    <x:dxf>
      <x:font>
        <x:b/>
        <x:color rgb="FF9C0006"/>
      </x:font>
      <x:fill>
        <x:patternFill>
          <x:bgColor rgb="FFF4CCCC"/>
        </x:patternFill>
      </x:fill>
    </x:dxf>
    <x:dxf>
      <x:font>
        <x:color rgb="FF9C0006"/>
      </x:font>
      <x:fill>
        <x:patternFill>
          <x:bgColor rgb="FFFCE8E6"/>
        </x:patternFill>
      </x:fill>
    </x:dxf>
    <x:dxf>
      <x:font>
        <x:color rgb="FF7F6000"/>
      </x:font>
      <x:fill>
        <x:patternFill>
          <x:bgColor rgb="FFFFF2CC"/>
        </x:patternFill>
      </x:fill>
    </x:dxf>
    <x:dxf>
      <x:font>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3453979097b48ab" /><Relationship Type="http://schemas.openxmlformats.org/officeDocument/2006/relationships/theme" Target="/xl/theme/theme1.xml" Id="R1c6e9474f2c04148" /><Relationship Type="http://schemas.openxmlformats.org/officeDocument/2006/relationships/sharedStrings" Target="/xl/sharedStrings.xml" Id="R35014588e46e48e0" /><Relationship Type="http://schemas.openxmlformats.org/officeDocument/2006/relationships/worksheet" Target="/xl/worksheets/sheet1.xml" Id="R295fac420a9341d3" /><Relationship Type="http://schemas.openxmlformats.org/officeDocument/2006/relationships/worksheet" Target="/xl/worksheets/sheet2.xml" Id="R74bccbebda04456d" /><Relationship Type="http://schemas.openxmlformats.org/officeDocument/2006/relationships/worksheet" Target="/xl/worksheets/sheet3.xml" Id="R8d20983fe85d4359" /><Relationship Type="http://schemas.openxmlformats.org/officeDocument/2006/relationships/worksheet" Target="/xl/worksheets/sheet4.xml" Id="R71e8e8a077eb4faa" /><Relationship Type="http://schemas.openxmlformats.org/officeDocument/2006/relationships/worksheet" Target="/xl/worksheets/sheet5.xml" Id="R35af2a143e314443" /></Relationships>
</file>

<file path=xl/tables/table1.xml><?xml version="1.0" encoding="utf-8"?>
<x:table xmlns:x="http://schemas.openxmlformats.org/spreadsheetml/2006/main" id="1" name="TranslationIssues" displayName="TranslationIssues" ref="A1:J43" headerRowCount="1" totalsRowCount="0" totalsRowShown="0">
  <x:tableColumns count="10">
    <x:tableColumn id="1" name="Zielsprache"/>
    <x:tableColumn id="2" name="Seite / URL"/>
    <x:tableColumn id="3" name="Original"/>
    <x:tableColumn id="4" name="Aktuelle Übersetzung"/>
    <x:tableColumn id="5" name="Schweregrad"/>
    <x:tableColumn id="6" name="Kategorie"/>
    <x:tableColumn id="7" name="Problem"/>
    <x:tableColumn id="8" name="Verbesserungsvorschlag"/>
    <x:tableColumn id="9" name="Begründung"/>
    <x:tableColumn id="10" name="String-ID / Quelle"/>
  </x:tableColumns>
  <x:tableStyleInfo name="TableStyleMedium2" showFirstColumn="0" showLastColumn="0" showRowStripes="1" showColumnStripes="0"/>
</x:table>
</file>

<file path=xl/tables/table2.xml><?xml version="1.0" encoding="utf-8"?>
<x:table xmlns:x="http://schemas.openxmlformats.org/spreadsheetml/2006/main" id="2" name="PageScores" displayName="PageScores" ref="A1:J151" headerRowCount="1" totalsRowCount="0" totalsRowShown="0">
  <x:tableColumns count="10">
    <x:tableColumn id="1" name="Zielsprache"/>
    <x:tableColumn id="2" name="Paket"/>
    <x:tableColumn id="3" name="Seite"/>
    <x:tableColumn id="4" name="Inhaltliche Genauigkeit"/>
    <x:tableColumn id="5" name="Natürlichkeit"/>
    <x:tableColumn id="6" name="Grammatik"/>
    <x:tableColumn id="7" name="Terminologie"/>
    <x:tableColumn id="8" name="Konsistenz"/>
    <x:tableColumn id="9" name="Gesamtqualität"/>
    <x:tableColumn id="10" name="Kurzkommentar"/>
  </x:tableColumns>
  <x:tableStyleInfo name="TableStyleMedium2" showFirstColumn="0" showLastColumn="0" showRowStripes="1" showColumnStripes="0"/>
</x:table>
</file>

<file path=xl/tables/table3.xml><?xml version="1.0" encoding="utf-8"?>
<x:table xmlns:x="http://schemas.openxmlformats.org/spreadsheetml/2006/main" id="3" name="SmartDockGlossary" displayName="SmartDockGlossary" ref="A1:F63" headerRowCount="1" totalsRowCount="0" totalsRowShown="0">
  <x:tableColumns count="6">
    <x:tableColumn id="1" name="Ausgangssprache"/>
    <x:tableColumn id="2" name="Ausgangsbegriff"/>
    <x:tableColumn id="3" name="Zielsprache"/>
    <x:tableColumn id="4" name="Empfohlene Übersetzung"/>
    <x:tableColumn id="5" name="Nicht verwenden"/>
    <x:tableColumn id="6" name="Hinwei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fcc235912e24a43" /></Relationships>
</file>

<file path=xl/worksheets/_rels/sheet3.xml.rels>&#65279;<?xml version="1.0" encoding="utf-8"?><Relationships xmlns="http://schemas.openxmlformats.org/package/2006/relationships"><Relationship Type="http://schemas.openxmlformats.org/officeDocument/2006/relationships/table" Target="/xl/tables/table2.xml" Id="Raee2ec8f42b04912" /></Relationships>
</file>

<file path=xl/worksheets/_rels/sheet4.xml.rels>&#65279;<?xml version="1.0" encoding="utf-8"?><Relationships xmlns="http://schemas.openxmlformats.org/package/2006/relationships"><Relationship Type="http://schemas.openxmlformats.org/officeDocument/2006/relationships/table" Target="/xl/tables/table3.xml" Id="R1510289a16464f66"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110" hidden="0" customWidth="1"/>
  </x:cols>
  <x:sheetData>
    <x:row r="1" ht="28" customHeight="1">
      <x:c r="A1" s="51" t="str">
        <x:v>SmartDock – Localization &amp; Translation QA</x:v>
      </x:c>
      <x:c r="B1" s="51"/>
      <x:c r="C1" s="47"/>
      <x:c r="D1" s="47"/>
      <x:c r="E1" s="47"/>
      <x:c r="F1" s="47"/>
      <x:c r="G1" s="47"/>
      <x:c r="H1" s="47"/>
    </x:row>
    <x:row r="2">
      <x:c r="A2" s="52"/>
      <x:c r="B2" s="52"/>
    </x:row>
    <x:row r="3" ht="15" hidden="0" customHeight="1">
      <x:c r="A3" s="53" t="str">
        <x:v>Quelle</x:v>
      </x:c>
      <x:c r="B3" s="54" t="str">
        <x:v>SMARTDOCK_WEBSITE_TEXTS_COMPLETE.md und SMARTDOCK_LOCALIZATION_PACKAGE.md</x:v>
      </x:c>
    </x:row>
    <x:row r="4" ht="15" hidden="0" customHeight="1">
      <x:c r="A4" s="53" t="str">
        <x:v>Master-Sprache</x:v>
      </x:c>
      <x:c r="B4" s="54" t="str">
        <x:v>Deutsch (de-DE)</x:v>
      </x:c>
    </x:row>
    <x:row r="5" ht="26.399999618530273" hidden="0" customHeight="1">
      <x:c r="A5" s="53" t="str">
        <x:v>Geprüfte Zielsprachen</x:v>
      </x:c>
      <x:c r="B5" s="54" t="str">
        <x:v>Englisch (en), Französisch (fr-FR), Dänisch (da-DK), Spanisch (es-ES), Niederländisch (nl-NL), Norwegisch Bokmål (nb-NO), Schwedisch (sv-SE)</x:v>
      </x:c>
    </x:row>
    <x:row r="6" ht="15" hidden="0" customHeight="1">
      <x:c r="A6" s="53" t="str">
        <x:v>EN/FR-Status</x:v>
      </x:c>
      <x:c r="B6" s="54" t="str">
        <x:v>Englisch und Französisch wurden als vollwertige QA-Zielsprachen gegen den deutschen Master geprüft – nicht nur als Referenz.</x:v>
      </x:c>
    </x:row>
    <x:row r="7" ht="15" hidden="0" customHeight="1">
      <x:c r="A7" s="53" t="str">
        <x:v>Umfang</x:v>
      </x:c>
      <x:c r="B7" s="54" t="str">
        <x:v>Globale UI-Texte, P01–P28, 11 FAQs, Konfigurator, Installation, SEO/Accessibility, Rastertexte und Rechtstexte.</x:v>
      </x:c>
    </x:row>
    <x:row r="8" ht="26.399999618530273" hidden="0" customHeight="1">
      <x:c r="A8" s="53" t="str">
        <x:v>Bewertungsprinzip</x:v>
      </x:c>
      <x:c r="B8" s="54" t="str">
        <x:v>Semantik vor Stil: German Leaks, fehlende aktive Quellzuordnungen, Terminologie-, Laufzeit- und Konsistenzprobleme werden risikogerecht bewertet.</x:v>
      </x:c>
    </x:row>
    <x:row r="9" ht="15" hidden="0" customHeight="1">
      <x:c r="A9" s="53" t="str">
        <x:v>Wichtige Abgrenzung</x:v>
      </x:c>
      <x:c r="B9" s="54" t="str">
        <x:v>Sprachliche QA ersetzt keine rechtliche, technische oder faktische Freigabe. TARGET_REVIEW bleibt ein separater Freigabestatus.</x:v>
      </x:c>
    </x:row>
    <x:row r="10" ht="15" hidden="0" customHeight="1">
      <x:c r="A10" s="52"/>
      <x:c r="B10" s="52"/>
    </x:row>
    <x:row r="11" ht="15" hidden="0" customHeight="1">
      <x:c r="A11" s="55" t="str">
        <x:v>Schweregrad</x:v>
      </x:c>
      <x:c r="B11" s="55" t="str">
        <x:v>Interpretation</x:v>
      </x:c>
    </x:row>
    <x:row r="12" ht="15" hidden="0" customHeight="1">
      <x:c r="A12" s="54" t="str">
        <x:v>Kritisch</x:v>
      </x:c>
      <x:c r="B12" s="54" t="str">
        <x:v>Bedeutung erheblich falsch/verändert.</x:v>
      </x:c>
    </x:row>
    <x:row r="13" ht="15" hidden="0" customHeight="1">
      <x:c r="A13" s="54" t="str">
        <x:v>Hoch</x:v>
      </x:c>
      <x:c r="B13" s="54" t="str">
        <x:v>Deutlicher Übersetzungs-, Grammatik- oder Terminologiefehler.</x:v>
      </x:c>
    </x:row>
    <x:row r="14" ht="15" hidden="0" customHeight="1">
      <x:c r="A14" s="54" t="str">
        <x:v>Mittel</x:v>
      </x:c>
      <x:c r="B14" s="54" t="str">
        <x:v>Verständlich, aber unnatürlich, unpräzise oder deutlich verbesserungswürdig.</x:v>
      </x:c>
    </x:row>
    <x:row r="15" ht="15" hidden="0" customHeight="1">
      <x:c r="A15" s="54" t="str">
        <x:v>Niedrig</x:v>
      </x:c>
      <x:c r="B15" s="54" t="str">
        <x:v>Kleine sprachliche/typografische Optimierung.</x:v>
      </x:c>
    </x:row>
    <x:row r="16" ht="15" hidden="0" customHeight="1">
      <x:c r="A16" s="52"/>
      <x:c r="B16" s="52"/>
    </x:row>
    <x:row r="17" ht="15" hidden="0" customHeight="1">
      <x:c r="A17" s="56" t="str">
        <x:v>CONTEXT_REQUIRED</x:v>
      </x:c>
      <x:c r="B17" s="57" t="str">
        <x:v>Fehlender UI-/Produktkontext verhindert eine sichere Zielsprachenentscheidung.</x:v>
      </x:c>
    </x:row>
    <x:row r="18" ht="15" hidden="0" customHeight="1">
      <x:c r="A18" s="56" t="str">
        <x:v>SOURCE_REVIEW_REQUIRED</x:v>
      </x:c>
      <x:c r="B18" s="57" t="str">
        <x:v>Der deutsche Master ist selbst uneindeutig oder technisch/faktisch prüfbedürftig.</x:v>
      </x:c>
    </x:row>
    <x:row r="19" ht="15" hidden="0" customHeight="1">
      <x:c r="A19" s="56" t="str">
        <x:v>SOURCE_NOT_VERIFIED</x:v>
      </x:c>
      <x:c r="B19" s="57" t="str">
        <x:v>Keine stabile aktive EN/FR-Quelle konnte zugeordnet werden; eine plausible Referenz ist keine Freigabe.</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3" hidden="0" customWidth="1"/>
    <x:col min="2" max="2" width="34" hidden="0" customWidth="1"/>
    <x:col min="3" max="3" width="45" hidden="0" customWidth="1"/>
    <x:col min="4" max="4" width="49" hidden="0" customWidth="1"/>
    <x:col min="5" max="5" width="13" hidden="0" customWidth="1"/>
    <x:col min="6" max="6" width="28" hidden="0" customWidth="1"/>
    <x:col min="7" max="7" width="45" hidden="0" customWidth="1"/>
    <x:col min="8" max="8" width="50" hidden="0" customWidth="1"/>
    <x:col min="9" max="9" width="48" hidden="0" customWidth="1"/>
    <x:col min="10" max="10" width="34" hidden="0" customWidth="1"/>
  </x:cols>
  <x:sheetData>
    <x:row r="1">
      <x:c r="A1" s="76" t="str">
        <x:v>Zielsprache</x:v>
      </x:c>
      <x:c r="B1" s="77" t="str">
        <x:v>Seite / URL</x:v>
      </x:c>
      <x:c r="C1" s="77" t="str">
        <x:v>Original</x:v>
      </x:c>
      <x:c r="D1" s="77" t="str">
        <x:v>Aktuelle Übersetzung</x:v>
      </x:c>
      <x:c r="E1" s="77" t="str">
        <x:v>Schweregrad</x:v>
      </x:c>
      <x:c r="F1" s="77" t="str">
        <x:v>Kategorie</x:v>
      </x:c>
      <x:c r="G1" s="77" t="str">
        <x:v>Problem</x:v>
      </x:c>
      <x:c r="H1" s="77" t="str">
        <x:v>Verbesserungsvorschlag</x:v>
      </x:c>
      <x:c r="I1" s="77" t="str">
        <x:v>Begründung</x:v>
      </x:c>
      <x:c r="J1" s="78" t="str">
        <x:v>String-ID / Quelle</x:v>
      </x:c>
    </x:row>
    <x:row r="2" ht="21.600000381469727" hidden="0" customHeight="1">
      <x:c r="A2" s="79" t="str">
        <x:v>Französisch (fr-FR)</x:v>
      </x:c>
      <x:c r="B2" s="79" t="str">
        <x:v>P21 Barrierefreiheit – /fr/accessibilite</x:v>
      </x:c>
      <x:c r="C2" s="79" t="str">
        <x:v>Deutsche Barrierefreiheitserklärung</x:v>
      </x:c>
      <x:c r="D2" s="79" t="str">
        <x:v>Aktive französische Route rendert die deutsche Seite.</x:v>
      </x:c>
      <x:c r="E2" s="79" t="str">
        <x:v>Kritisch</x:v>
      </x:c>
      <x:c r="F2" s="79" t="str">
        <x:v>Laufzeit / Vollständigkeit</x:v>
      </x:c>
      <x:c r="G2" s="79" t="str">
        <x:v>Der vollständige rechtlich relevante Seiteninhalt ist nicht französisch verfügbar.</x:v>
      </x:c>
      <x:c r="H2" s="79" t="str">
        <x:v>Freigegebene französische Übersetzung gegen den DE-Master verdrahten; anschließend Legal-/Accessibility-Review.</x:v>
      </x:c>
      <x:c r="I2" s="79" t="str">
        <x:v>Eine komplette deutschsprachige Rechts-/Compliance-Seite auf einer FR-Route ist kein einzelner Stilfehler, sondern ein Publikationsdefekt.</x:v>
      </x:c>
      <x:c r="J2" s="79" t="str">
        <x:v>French legal-route defect · P21</x:v>
      </x:c>
    </x:row>
    <x:row r="3" ht="21.600000381469727" hidden="0" customHeight="1">
      <x:c r="A3" s="79" t="str">
        <x:v>Französisch (fr-FR)</x:v>
      </x:c>
      <x:c r="B3" s="79" t="str">
        <x:v>P22 Versand &amp; Zahlung – /fr/livraison</x:v>
      </x:c>
      <x:c r="C3" s="79" t="str">
        <x:v>Deutsche Versand- und Zahlungsbedingungen</x:v>
      </x:c>
      <x:c r="D3" s="79" t="str">
        <x:v>Aktive französische Route rendert die deutsche Seite.</x:v>
      </x:c>
      <x:c r="E3" s="79" t="str">
        <x:v>Kritisch</x:v>
      </x:c>
      <x:c r="F3" s="79" t="str">
        <x:v>Laufzeit / Vollständigkeit</x:v>
      </x:c>
      <x:c r="G3" s="79" t="str">
        <x:v>Versandländer, Fristen, Kosten und Zahlungsinformationen fehlen in französischer Sprache.</x:v>
      </x:c>
      <x:c r="H3" s="79" t="str">
        <x:v>FR-Fassung gegen den aktuellen DE-Master erstellen, aktiv verdrahten und kommerziell/rechtlich freigeben.</x:v>
      </x:c>
      <x:c r="I3" s="79" t="str">
        <x:v>Der gesamte transaktionsrelevante Inhalt ist für französische Nutzer sprachlich nicht zugänglich.</x:v>
      </x:c>
      <x:c r="J3" s="79" t="str">
        <x:v>French legal-route defect · P22</x:v>
      </x:c>
    </x:row>
    <x:row r="4" ht="21.600000381469727" hidden="0" customHeight="1">
      <x:c r="A4" s="79" t="str">
        <x:v>Französisch (fr-FR)</x:v>
      </x:c>
      <x:c r="B4" s="79" t="str">
        <x:v>P23 Widerruf – /fr/droit-de-retractation</x:v>
      </x:c>
      <x:c r="C4" s="79" t="str">
        <x:v>Deutsche Widerrufsinformation und Musterformular</x:v>
      </x:c>
      <x:c r="D4" s="79" t="str">
        <x:v>Aktive französische Route rendert die deutsche Seite.</x:v>
      </x:c>
      <x:c r="E4" s="79" t="str">
        <x:v>Kritisch</x:v>
      </x:c>
      <x:c r="F4" s="79" t="str">
        <x:v>Laufzeit / Vollständigkeit</x:v>
      </x:c>
      <x:c r="G4" s="79" t="str">
        <x:v>Widerrufsbelehrung und Formularfelder werden nicht auf Französisch bereitgestellt.</x:v>
      </x:c>
      <x:c r="H4" s="79" t="str">
        <x:v>Vollständige FR-Fassung inklusive Formularfeldern aktivieren; zwingend juristisch prüfen.</x:v>
      </x:c>
      <x:c r="I4" s="79" t="str">
        <x:v>Eine vollständige deutsche Fallback-Seite verändert die Erreichbarkeit wesentlicher Verbraucherinformationen erheblich.</x:v>
      </x:c>
      <x:c r="J4" s="79" t="str">
        <x:v>French legal-route defect · P23</x:v>
      </x:c>
    </x:row>
    <x:row r="5" ht="21.600000381469727" hidden="0" customHeight="1">
      <x:c r="A5" s="79" t="str">
        <x:v>Französisch (fr-FR)</x:v>
      </x:c>
      <x:c r="B5" s="79" t="str">
        <x:v>P24 AGB – /fr/cgv</x:v>
      </x:c>
      <x:c r="C5" s="79" t="str">
        <x:v>Deutsche AGB/Kundeninformationen</x:v>
      </x:c>
      <x:c r="D5" s="79" t="str">
        <x:v>Aktive französische Route rendert die deutschen Inhalte; &lt;Translate&gt; ist wirkungslos.</x:v>
      </x:c>
      <x:c r="E5" s="79" t="str">
        <x:v>Kritisch</x:v>
      </x:c>
      <x:c r="F5" s="79" t="str">
        <x:v>Laufzeit / Vollständigkeit</x:v>
      </x:c>
      <x:c r="G5" s="79" t="str">
        <x:v>Die französische CGV-Route enthält keine wirksame französische Lokalisierung.</x:v>
      </x:c>
      <x:c r="H5" s="79" t="str">
        <x:v>Freigegebene französische AGB-Übersetzung an die aktive Komponente anbinden und rechtlich prüfen.</x:v>
      </x:c>
      <x:c r="I5" s="79" t="str">
        <x:v>Die gesamte rechtliche Aussage ist in der gewählten Zielsprache nicht verfügbar.</x:v>
      </x:c>
      <x:c r="J5" s="79" t="str">
        <x:v>French legal-route defect · P24</x:v>
      </x:c>
    </x:row>
    <x:row r="6" ht="21.600000381469727" hidden="0" customHeight="1">
      <x:c r="A6" s="79" t="str">
        <x:v>Französisch (fr-FR)</x:v>
      </x:c>
      <x:c r="B6" s="79" t="str">
        <x:v>P25 Impressum – /fr/mentions-legales</x:v>
      </x:c>
      <x:c r="C6" s="79" t="str">
        <x:v>Deutsches Impressum</x:v>
      </x:c>
      <x:c r="D6" s="79" t="str">
        <x:v>Aktive französische Route rendert direkten deutschen Inhalt.</x:v>
      </x:c>
      <x:c r="E6" s="79" t="str">
        <x:v>Kritisch</x:v>
      </x:c>
      <x:c r="F6" s="79" t="str">
        <x:v>Laufzeit / Vollständigkeit</x:v>
      </x:c>
      <x:c r="G6" s="79" t="str">
        <x:v>Anbieter-, Haftungs- und Markenhinweise sind auf der FR-Route deutsch.</x:v>
      </x:c>
      <x:c r="H6" s="79" t="str">
        <x:v>FR-Referenz gegen den aktiven DE-Master ausrichten, verdrahten und rechtlich prüfen.</x:v>
      </x:c>
      <x:c r="I6" s="79" t="str">
        <x:v>Der Defekt betrifft die gesamte Seite und wiederholt sich in mindestens 15 explizit markierten Fallback-Zellen.</x:v>
      </x:c>
      <x:c r="J6" s="79" t="str">
        <x:v>French legal-route defect · P25</x:v>
      </x:c>
    </x:row>
    <x:row r="7" ht="32.400001525878906" hidden="0" customHeight="1">
      <x:c r="A7" s="79" t="str">
        <x:v>Französisch (fr-FR)</x:v>
      </x:c>
      <x:c r="B7" s="79" t="str">
        <x:v>P26A/P26B Datenschutz – /fr/confidentialite</x:v>
      </x:c>
      <x:c r="C7" s="79" t="str">
        <x:v>Deutsche Datenschutzerklärung</x:v>
      </x:c>
      <x:c r="D7" s="79" t="str">
        <x:v>Die aktive FR-Route nutzt den deutschen Branch; zahlreiche Abschnitte erscheinen deutsch.</x:v>
      </x:c>
      <x:c r="E7" s="79" t="str">
        <x:v>Kritisch</x:v>
      </x:c>
      <x:c r="F7" s="79" t="str">
        <x:v>Laufzeit / Vollständigkeit</x:v>
      </x:c>
      <x:c r="G7" s="79" t="str">
        <x:v>Die vollständige Datenschutzinformation ist nicht wirksam französisch lokalisiert.</x:v>
      </x:c>
      <x:c r="H7" s="79" t="str">
        <x:v>FR-Datenschutztext gegen den DE-Master erstellen/abgleichen, RGPD-Terminologie verwenden, aktive Route verdrahten und juristisch prüfen.</x:v>
      </x:c>
      <x:c r="I7" s="79" t="str">
        <x:v>Die Route umfasst sowohl explizite LIVE-DE-FALLBACKs als auch direkt übernommene deutsche Cookie-/Analytics-Texte.</x:v>
      </x:c>
      <x:c r="J7" s="79" t="str">
        <x:v>French legal-route defect · P26A/P26B</x:v>
      </x:c>
    </x:row>
    <x:row r="8" ht="32.400001525878906" hidden="0" customHeight="1">
      <x:c r="A8" s="80" t="str">
        <x:v>Dänisch (da-DK)</x:v>
      </x:c>
      <x:c r="B8" s="80" t="str">
        <x:v>P26A Datenschutz – Abschnitte 1–7 (URL im Paket nicht angegeben)</x:v>
      </x:c>
      <x:c r="C8" s="80" t="str">
        <x:v>Verantwortlicher für die Datenverarbeitung auf dieser Website im Sinne der Datenschutz-Grundverordnung (DSGVO) ist:</x:v>
      </x:c>
      <x:c r="D8" s="80" t="str">
        <x:v>Den dataansvarlige for behandlingen af personoplysninger på dette websted i henhold til Datenschutz-Grundverordnung (DSGVO) er:</x:v>
      </x:c>
      <x:c r="E8" s="80" t="str">
        <x:v>Hoch</x:v>
      </x:c>
      <x:c r="F8" s="80" t="str">
        <x:v>Terminologie / Vollständigkeit</x:v>
      </x:c>
      <x:c r="G8" s="80" t="str">
        <x:v>Der deutsche Rechtsaktname und das deutsche Kürzel „DSGVO“ wurden im Zieltext stehen gelassen.</x:v>
      </x:c>
      <x:c r="H8" s="80" t="str">
        <x:v>Den dataansvarlige for behandlingen af personoplysninger på dette websted i henhold til databeskyttelsesforordningen (GDPR) er:</x:v>
      </x:c>
      <x:c r="I8" s="80" t="str">
        <x:v>Auf einer muttersprachlichen Datenschutzseite sollte der EU-Rechtsakt mit der in der Zielsprache etablierten Bezeichnung bzw. Abkürzung erscheinen. Das Problem wiederholt sich auf P26A/P26B.</x:v>
      </x:c>
      <x:c r="J8" s="80" t="str">
        <x:v>privacy.controller.description · Zeile 1720</x:v>
      </x:c>
    </x:row>
    <x:row r="9" ht="32.400001525878906" hidden="0" customHeight="1">
      <x:c r="A9" s="80" t="str">
        <x:v>Dänisch (da-DK)</x:v>
      </x:c>
      <x:c r="B9" s="80" t="str">
        <x:v>P26A/P26B Datenschutz (websiteweit in den Rechtsgrundlagen)</x:v>
      </x:c>
      <x:c r="C9" s="80" t="str">
        <x:v>… gemäß Art. 6 Abs. 1 S. 1 lit. f DSGVO …</x:v>
      </x:c>
      <x:c r="D9" s="80" t="str">
        <x:v>… Art. 6 Abs. 1 S. 1 lit. f DSGVO …</x:v>
      </x:c>
      <x:c r="E9" s="80" t="str">
        <x:v>Hoch</x:v>
      </x:c>
      <x:c r="F9" s="80" t="str">
        <x:v>Terminologie / Natürlichkeit</x:v>
      </x:c>
      <x:c r="G9" s="80" t="str">
        <x:v>Deutsche Zitierabkürzungen („Abs.“, „S.“, „lit.“) und „DSGVO“ werden unverändert in fremdsprachige Sätze eingebettet.</x:v>
      </x:c>
      <x:c r="H9" s="80" t="str">
        <x:v>… i henhold til artikel 6, stk. 1, 1. pkt., litra f, i GDPR …</x:v>
      </x:c>
      <x:c r="I9" s="80" t="str">
        <x:v>Der materielle Artikelbezug kann erhalten bleiben, die Darstellungsform sollte jedoch der jeweiligen Zielsprache entsprechen. Die deutsche Syntax wirkt wie ein nicht lokalisierter Textbaustein.</x:v>
      </x:c>
      <x:c r="J9" s="80" t="str">
        <x:v>privacy.server_logs.purpose · Zeile 1726</x:v>
      </x:c>
    </x:row>
    <x:row r="10" ht="32.400001525878906" hidden="0" customHeight="1">
      <x:c r="A10" s="80" t="str">
        <x:v>Dänisch (da-DK)</x:v>
      </x:c>
      <x:c r="B10" s="80" t="str">
        <x:v>P26B Datenschutz – Abschnitte 8–14 (URL im Paket nicht angegeben)</x:v>
      </x:c>
      <x:c r="C10" s="80" t="str">
        <x:v>Auch mit Hetzner haben wir einen entsprechenden Vertrag zur Auftragsverarbeitung (AVV) abgeschlossen, …</x:v>
      </x:c>
      <x:c r="D10" s="80" t="str">
        <x:v>Vi har også indgået en tilsvarende aftale om databehandling (AVV) med Hetzner for at sikre beskyttelsen af dine data ved domæne- og DNS-administration.</x:v>
      </x:c>
      <x:c r="E10" s="80" t="str">
        <x:v>Hoch</x:v>
      </x:c>
      <x:c r="F10" s="80" t="str">
        <x:v>Terminologie</x:v>
      </x:c>
      <x:c r="G10" s="80" t="str">
        <x:v>Die deutsche Abkürzung „AVV“ bleibt nach einem bereits lokalisierten Vertragsterm stehen und ist für Zielsprachler nicht selbsterklärend.</x:v>
      </x:c>
      <x:c r="H10" s="80" t="str">
        <x:v>Vi har også indgået en tilsvarende databehandleraftale med Hetzner …</x:v>
      </x:c>
      <x:c r="I10" s="80" t="str">
        <x:v>Entweder die ausgeschriebene lokale Fachbezeichnung ohne Kürzel verwenden oder ein ausdrücklich freigegebenes, lokal verständliches Kürzel definieren. Das Problem tritt auch beim Hosting-Abschnitt auf.</x:v>
      </x:c>
      <x:c r="J10" s="80" t="str">
        <x:v>privacy.dns.dpa_retention · Zeile 1794</x:v>
      </x:c>
    </x:row>
    <x:row r="11" ht="43.20000076293945" hidden="0" customHeight="1">
      <x:c r="A11" s="80" t="str">
        <x:v>Dänisch (da-DK)</x:v>
      </x:c>
      <x:c r="B11" s="80" t="str">
        <x:v>P25 Impressum (URL im Paket nicht angegeben)</x:v>
      </x:c>
      <x:c r="C11" s="80" t="str">
        <x:v>… gemäß § 7 Abs.1 TMG … Nach §§ 8 bis 10 TMG …</x:v>
      </x:c>
      <x:c r="D11" s="80" t="str">
        <x:v>Som tjenesteudbyder er vi i henhold til § 7 Abs.1 TMG ansvarlige for vores eget indhold på disse sider efter den almindelige lovgivning. I henhold til §§ 8 bis 10 TMG er vi som tjenesteudbyder dog ikke forpligtet til at overvåge overførte eller lagrede oplysni…</x:v>
      </x:c>
      <x:c r="E11" s="80" t="str">
        <x:v>Hoch</x:v>
      </x:c>
      <x:c r="F11" s="80" t="str">
        <x:v>Terminologie / Vollständigkeit</x:v>
      </x:c>
      <x:c r="G11" s="80" t="str">
        <x:v>Deutsche Zitierkürzel bzw. das deutsche Wort „bis“ sind im Zieltext stehen geblieben.</x:v>
      </x:c>
      <x:c r="H11" s="80" t="str">
        <x:v>… i henhold til § 7, stk. 1, TMG … I henhold til §§ 8–10 TMG …</x:v>
      </x:c>
      <x:c r="I11" s="80" t="str">
        <x:v>Der deutsche Gesetzesname bzw. das Kürzel TMG kann als deutscher Rechtsbezug bestehen bleiben; die umgebende Zitierweise sollte aber nicht teilweise deutsch sein.</x:v>
      </x:c>
      <x:c r="J11" s="80" t="str">
        <x:v>imprint.disclaimer.tmg · Zeile 1684</x:v>
      </x:c>
    </x:row>
    <x:row r="12" ht="32.400001525878906" hidden="0" customHeight="1">
      <x:c r="A12" s="80" t="str">
        <x:v>Englisch (en)</x:v>
      </x:c>
      <x:c r="B12" s="80" t="str">
        <x:v>P02 Homepage – Vorteile &amp; Module</x:v>
      </x:c>
      <x:c r="C12" s="80" t="str">
        <x:v>Mit SMARTDOCK steuerst du Motoren und Strahlruder drahtlos. So behältst du beim Manövrieren den Überblick …</x:v>
      </x:c>
      <x:c r="D12" s="80" t="str">
        <x:v>SMARTDOCK revolutionises … you always have a perfect overview … pinpoint accuracy …</x:v>
      </x:c>
      <x:c r="E12" s="80" t="str">
        <x:v>Hoch</x:v>
      </x:c>
      <x:c r="F12" s="80" t="str">
        <x:v>Inhaltliche Genauigkeit / Addition</x:v>
      </x:c>
      <x:c r="G12" s="80" t="str">
        <x:v>Die englische Fassung verstärkt den aktuellen deutschen Master um Revolution-, Absolutheits- und Präzisionsclaims.</x:v>
      </x:c>
      <x:c r="H12" s="80" t="str">
        <x:v>With SMARTDOCK, you control the engines and thrusters wirelessly. This gives you a clear overview while manoeuvring and lets you control your boat precisely, even in tight harbours and difficult wind conditions.</x:v>
      </x:c>
      <x:c r="I12" s="80" t="str">
        <x:v>Die ältere EN-Fassung überschreibt die bewusst abgeschwächte Masteraussage und fügt nicht freigegebene Behauptungen hinzu.</x:v>
      </x:c>
      <x:c r="J12" s="80" t="str">
        <x:v>home.intro.description · Zeile 165</x:v>
      </x:c>
    </x:row>
    <x:row r="13" ht="21.600000381469727" hidden="0" customHeight="1">
      <x:c r="A13" s="80" t="str">
        <x:v>Englisch (en)</x:v>
      </x:c>
      <x:c r="B13" s="80" t="str">
        <x:v>P02 Homepage – Vorteile &amp; Module</x:v>
      </x:c>
      <x:c r="C13" s="80" t="str">
        <x:v>Ob Motoren, Bugstrahlruder oder Ankerwinde …</x:v>
      </x:c>
      <x:c r="D13" s="80" t="str">
        <x:v>Whether engines, bow thrusters, or winches …</x:v>
      </x:c>
      <x:c r="E13" s="80" t="str">
        <x:v>Hoch</x:v>
      </x:c>
      <x:c r="F13" s="80" t="str">
        <x:v>Technische Terminologie</x:v>
      </x:c>
      <x:c r="G13" s="80" t="str">
        <x:v>„Ankerwinde“ wird zum generischen Plural „winches“; die konkrete Gerätefunktion geht verloren.</x:v>
      </x:c>
      <x:c r="H13" s="80" t="str">
        <x:v>Whether engines, bow thrusters or the anchor windlass …</x:v>
      </x:c>
      <x:c r="I13" s="80" t="str">
        <x:v>Anchor windlass und allgemeine winch sind im SmartDock-Kontext getrennte technische Konzepte.</x:v>
      </x:c>
      <x:c r="J13" s="80" t="str">
        <x:v>home.advantages.precision.description · Zeile 171</x:v>
      </x:c>
    </x:row>
    <x:row r="14" ht="21.600000381469727" hidden="0" customHeight="1">
      <x:c r="A14" s="80" t="str">
        <x:v>Englisch (en)</x:v>
      </x:c>
      <x:c r="B14" s="80" t="str">
        <x:v>P07 Installation – Shell &amp; Dokumente</x:v>
      </x:c>
      <x:c r="C14" s="80" t="str">
        <x:v>8 aktive Inline-/SEO-/Status-Strings</x:v>
      </x:c>
      <x:c r="D14" s="80" t="str">
        <x:v>SOURCE_NOT_VERIFIED; deutsche Mastertexte sind als Fallback dokumentiert.</x:v>
      </x:c>
      <x:c r="E14" s="80" t="str">
        <x:v>Hoch</x:v>
      </x:c>
      <x:c r="F14" s="80" t="str">
        <x:v>Vollständigkeit / German Leak</x:v>
      </x:c>
      <x:c r="G14" s="80" t="str">
        <x:v>Hero-Unterzeile, SEO-Description, Ladefehler, PDF-CTA und Abschnittslabels besitzen keine verifizierte aktive EN-Quelle.</x:v>
      </x:c>
      <x:c r="H14" s="80" t="str">
        <x:v>Alle acht Strings kontextgerecht ins Englische lokalisieren und an die aktive Sprachlogik anbinden.</x:v>
      </x:c>
      <x:c r="I14" s="80" t="str">
        <x:v>Aktive browserseitige Texte dürfen nicht nur als deutsche Referenz im EN-Slot stehen.</x:v>
      </x:c>
      <x:c r="J14" s="80" t="str">
        <x:v>P07 · 8 EN SOURCE_NOT_VERIFIED</x:v>
      </x:c>
    </x:row>
    <x:row r="15" ht="21.600000381469727" hidden="0" customHeight="1">
      <x:c r="A15" s="80" t="str">
        <x:v>Englisch (en)</x:v>
      </x:c>
      <x:c r="B15" s="80" t="str">
        <x:v>P08 Installation – technische Terminologie</x:v>
      </x:c>
      <x:c r="C15" s="80" t="str">
        <x:v>120 s (danach 120 s Pause); Abmessungen (B × H × T); ca. {value}</x:v>
      </x:c>
      <x:c r="D15" s="80" t="str">
        <x:v>SOURCE_NOT_VERIFIED mit deutschen Resten</x:v>
      </x:c>
      <x:c r="E15" s="80" t="str">
        <x:v>Hoch</x:v>
      </x:c>
      <x:c r="F15" s="80" t="str">
        <x:v>Technische Terminologie / German Leak</x:v>
      </x:c>
      <x:c r="G15" s="80" t="str">
        <x:v>Drei technische Darstellungen sind nicht als aktive englische Zieltexte verifiziert.</x:v>
      </x:c>
      <x:c r="H15" s="80" t="str">
        <x:v>120 s (followed by a 120 s pause); Dimensions (W × H × D); approx. {value}</x:v>
      </x:c>
      <x:c r="I15" s="80" t="str">
        <x:v>Technische Werte bleiben unverändert, Beschriftungen und Dimensionskürzel müssen zielsprachlich sein.</x:v>
      </x:c>
      <x:c r="J15" s="80" t="str">
        <x:v>P08 · 3 EN SOURCE_NOT_VERIFIED</x:v>
      </x:c>
    </x:row>
    <x:row r="16" ht="21.600000381469727" hidden="0" customHeight="1">
      <x:c r="A16" s="80" t="str">
        <x:v>Englisch (en)</x:v>
      </x:c>
      <x:c r="B16" s="80" t="str">
        <x:v>P13 Händlersuche</x:v>
      </x:c>
      <x:c r="C16" s="80" t="str">
        <x:v>Dein Standort</x:v>
      </x:c>
      <x:c r="D16" s="80" t="str">
        <x:v>SOURCE_NOT_VERIFIED: Dein Standort</x:v>
      </x:c>
      <x:c r="E16" s="80" t="str">
        <x:v>Hoch</x:v>
      </x:c>
      <x:c r="F16" s="80" t="str">
        <x:v>German Leak / UI</x:v>
      </x:c>
      <x:c r="G16" s="80" t="str">
        <x:v>Der aktive Karten-Popup-Text ist nicht als englische Zielversion abgesichert.</x:v>
      </x:c>
      <x:c r="H16" s="80" t="str">
        <x:v>Your location</x:v>
      </x:c>
      <x:c r="I16" s="80" t="str">
        <x:v>Ein sichtbares deutsches Kartenlabel ist auf der englischen Route eindeutig falsch lokalisiert.</x:v>
      </x:c>
      <x:c r="J16" s="80" t="str">
        <x:v>dealer.map.user_location · Zeile 1015</x:v>
      </x:c>
    </x:row>
    <x:row r="17" ht="21.600000381469727" hidden="0" customHeight="1">
      <x:c r="A17" s="80" t="str">
        <x:v>Englisch (en)</x:v>
      </x:c>
      <x:c r="B17" s="80" t="str">
        <x:v>P16 Konfigurator – Auswahl &amp; Zusammenfassung</x:v>
      </x:c>
      <x:c r="C17" s="80" t="str">
        <x:v>SEO-Beschreibung und rechtlicher Unverbindlichkeits-Hinweis</x:v>
      </x:c>
      <x:c r="D17" s="80" t="str">
        <x:v>3 EN-Felder SOURCE_NOT_VERIFIED; deutsche Mastertexte dokumentiert.</x:v>
      </x:c>
      <x:c r="E17" s="80" t="str">
        <x:v>Hoch</x:v>
      </x:c>
      <x:c r="F17" s="80" t="str">
        <x:v>Vollständigkeit / Legal UI</x:v>
      </x:c>
      <x:c r="G17" s="80" t="str">
        <x:v>Die nicht bindende Natur der Konfiguration ist nicht durch eine verifizierte aktive EN-Fassung abgedeckt.</x:v>
      </x:c>
      <x:c r="H17" s="80" t="str">
        <x:v>Englische SEO- und Disclaimer-Fassung erstellen und in der aktiven Komponente wiederverwenden.</x:v>
      </x:c>
      <x:c r="I17" s="80" t="str">
        <x:v>Der Disclaimer steuert die rechtliche Einordnung des Prozesses; ein deutscher Fallback ist nicht akzeptabel.</x:v>
      </x:c>
      <x:c r="J17" s="80" t="str">
        <x:v>P16 · 3 EN SOURCE_NOT_VERIFIED</x:v>
      </x:c>
    </x:row>
    <x:row r="18" ht="21.600000381469727" hidden="0" customHeight="1">
      <x:c r="A18" s="80" t="str">
        <x:v>Englisch (en)</x:v>
      </x:c>
      <x:c r="B18" s="80" t="str">
        <x:v>P18 Konfigurator – Kontakt/Händler/Absenden</x:v>
      </x:c>
      <x:c r="C18" s="80" t="str">
        <x:v>Review-, Kontakt-, Validierungs-, Erfolgs-, Fehler- und PDF-Texte</x:v>
      </x:c>
      <x:c r="D18" s="80" t="str">
        <x:v>18 aktive EN-Felder SOURCE_NOT_VERIFIED; deutsche Texte als Platzhalter.</x:v>
      </x:c>
      <x:c r="E18" s="80" t="str">
        <x:v>Hoch</x:v>
      </x:c>
      <x:c r="F18" s="80" t="str">
        <x:v>Vollständigkeit / German Leak</x:v>
      </x:c>
      <x:c r="G18" s="80" t="str">
        <x:v>Mehr als die Hälfte der strukturierten P18-Oberfläche besitzt keine verifizierte aktive englische Fassung.</x:v>
      </x:c>
      <x:c r="H18" s="80" t="str">
        <x:v>Alle 18 Strings gegen den deutschen Master lokalisieren und zentral verdrahten.</x:v>
      </x:c>
      <x:c r="I18" s="80" t="str">
        <x:v>Die Lücke betrifft Kernaktionen und Fehlermeldungen, nicht nur versteckte Metadaten.</x:v>
      </x:c>
      <x:c r="J18" s="80" t="str">
        <x:v>P18 · 18 EN SOURCE_NOT_VERIFIED</x:v>
      </x:c>
    </x:row>
    <x:row r="19" ht="21.600000381469727" hidden="0" customHeight="1">
      <x:c r="A19" s="80" t="str">
        <x:v>Englisch (en)</x:v>
      </x:c>
      <x:c r="B19" s="80" t="str">
        <x:v>P19 Konfigurator – Bestätigung</x:v>
      </x:c>
      <x:c r="C19" s="80" t="str">
        <x:v>Bestätigungsbeschreibung, Details, Status, Händlerkarte, Disclaimer, Fehlerzustand und Home-CTA</x:v>
      </x:c>
      <x:c r="D19" s="80" t="str">
        <x:v>Im Live-Pfad ist nur die Überschrift übersetzt; der Rest ist überwiegend hardcodiert deutsch.</x:v>
      </x:c>
      <x:c r="E19" s="80" t="str">
        <x:v>Hoch</x:v>
      </x:c>
      <x:c r="F19" s="80" t="str">
        <x:v>Laufzeit / German Leak</x:v>
      </x:c>
      <x:c r="G19" s="80" t="str">
        <x:v>Vorhandene EN-Schlüssel werden von der aktiven Bestätigungsseite nicht wirksam genutzt.</x:v>
      </x:c>
      <x:c r="H19" s="80" t="str">
        <x:v>Seite vollständig auf die freigegebenen conf_succ_*/Shared-Keys umstellen und locale-aware zurücknavigieren.</x:v>
      </x:c>
      <x:c r="I19" s="80" t="str">
        <x:v>Die UI wirkt nach dem Absenden plötzlich deutsch und unterbricht den vollständigen Zielsprachenfluss.</x:v>
      </x:c>
      <x:c r="J19" s="80" t="str">
        <x:v>Active confirmation path · P19</x:v>
      </x:c>
    </x:row>
    <x:row r="20" ht="21.600000381469727" hidden="0" customHeight="1">
      <x:c r="A20" s="80" t="str">
        <x:v>Englisch (en)</x:v>
      </x:c>
      <x:c r="B20" s="80" t="str">
        <x:v>P20 Konfigurator – zusammengesetzte Werte</x:v>
      </x:c>
      <x:c r="C20" s="80" t="str">
        <x:v>Ankerwinde, Winch, Extras und Geräte-Templates</x:v>
      </x:c>
      <x:c r="D20" s="80" t="str">
        <x:v>6 EN-Werte SOURCE_NOT_VERIFIED</x:v>
      </x:c>
      <x:c r="E20" s="80" t="str">
        <x:v>Hoch</x:v>
      </x:c>
      <x:c r="F20" s="80" t="str">
        <x:v>Technische Terminologie / Vollständigkeit</x:v>
      </x:c>
      <x:c r="G20" s="80" t="str">
        <x:v>Zusammengesetzte technische Werte können deutsche Begriffe in die englische Zusammenfassung tragen.</x:v>
      </x:c>
      <x:c r="H20" s="80" t="str">
        <x:v>Begriffe über das zentrale technische Glossar und sprachabhängige Value-Templates ausgeben.</x:v>
      </x:c>
      <x:c r="I20" s="80" t="str">
        <x:v>Gerätebezeichnungen müssen auch in dynamisch zusammengesetzten UI-Werten konsistent bleiben.</x:v>
      </x:c>
      <x:c r="J20" s="80" t="str">
        <x:v>P20 · 6 EN SOURCE_NOT_VERIFIED</x:v>
      </x:c>
    </x:row>
    <x:row r="21" ht="21.600000381469727" hidden="0" customHeight="1">
      <x:c r="A21" s="80" t="str">
        <x:v>Englisch (en)</x:v>
      </x:c>
      <x:c r="B21" s="80" t="str">
        <x:v>P27 Cross-Page SEO &amp; Accessibility</x:v>
      </x:c>
      <x:c r="C21" s="80" t="str">
        <x:v>19 SEO-, Alt-, ARIA- und Titel-Strings</x:v>
      </x:c>
      <x:c r="D21" s="80" t="str">
        <x:v>SOURCE_NOT_VERIFIED; häufig deutscher Mastertext im EN-Feld.</x:v>
      </x:c>
      <x:c r="E21" s="80" t="str">
        <x:v>Hoch</x:v>
      </x:c>
      <x:c r="F21" s="80" t="str">
        <x:v>Accessibility / German Leak</x:v>
      </x:c>
      <x:c r="G21" s="80" t="str">
        <x:v>Aktive Metadaten und zugängliche Namen sind überwiegend nicht als englische Zieltexte verifiziert.</x:v>
      </x:c>
      <x:c r="H21" s="80" t="str">
        <x:v>Alle 19 Strings gegen tatsächliche Assets/UI-Kontexte lokalisieren und technisch anbinden.</x:v>
      </x:c>
      <x:c r="I21" s="80" t="str">
        <x:v>Nicht sichtbare Alt-/ARIA-Texte sind dennoch produktiver Website-Content und für Assistenztechnologien kritisch.</x:v>
      </x:c>
      <x:c r="J21" s="80" t="str">
        <x:v>P27 · 19 EN SOURCE_NOT_VERIFIED</x:v>
      </x:c>
    </x:row>
    <x:row r="22" ht="21.600000381469727" hidden="0" customHeight="1">
      <x:c r="A22" s="80" t="str">
        <x:v>Englisch (en)</x:v>
      </x:c>
      <x:c r="B22" s="80" t="str">
        <x:v>P28 Raster-/Embedded-Text-Audit</x:v>
      </x:c>
      <x:c r="C22" s="80" t="str">
        <x:v>6 eingebettete Funktions-/Bedienhinweise</x:v>
      </x:c>
      <x:c r="D22" s="80" t="str">
        <x:v>EN-Quellen SOURCE_NOT_VERIFIED</x:v>
      </x:c>
      <x:c r="E22" s="80" t="str">
        <x:v>Hoch</x:v>
      </x:c>
      <x:c r="F22" s="80" t="str">
        <x:v>Asset-Lokalisierung / Vollständigkeit</x:v>
      </x:c>
      <x:c r="G22" s="80" t="str">
        <x:v>In Grafiken eingebettete Bedien- und Funktionsbegriffe besitzen keine freigegebene englische Zielversion.</x:v>
      </x:c>
      <x:c r="H22" s="80" t="str">
        <x:v>Englische Rastervarianten mit finalem App-Glossar erstellen und visuell prüfen.</x:v>
      </x:c>
      <x:c r="I22" s="80" t="str">
        <x:v>Text in Bildern ist genauso veröffentlichter Zieltext und kann nicht durch Runtime-i18n korrigiert werden.</x:v>
      </x:c>
      <x:c r="J22" s="80" t="str">
        <x:v>P28 · 6 EN SOURCE_NOT_VERIFIED</x:v>
      </x:c>
    </x:row>
    <x:row r="23" ht="43.20000076293945" hidden="0" customHeight="1">
      <x:c r="A23" s="80" t="str">
        <x:v>Französisch (fr-FR)</x:v>
      </x:c>
      <x:c r="B23" s="80" t="str">
        <x:v>P02 Homepage – Vorteile &amp; Module</x:v>
      </x:c>
      <x:c r="C23" s="80" t="str">
        <x:v>Mit SMARTDOCK steuerst du Motoren und Strahlruder drahtlos. So behältst du beim Manövrieren den Überblick …</x:v>
      </x:c>
      <x:c r="D23" s="80" t="str">
        <x:v>SMARTDOCK révolutionne … vue d'ensemble parfaite … précision extrême …</x:v>
      </x:c>
      <x:c r="E23" s="80" t="str">
        <x:v>Hoch</x:v>
      </x:c>
      <x:c r="F23" s="80" t="str">
        <x:v>Inhaltliche Genauigkeit / Addition</x:v>
      </x:c>
      <x:c r="G23" s="80" t="str">
        <x:v>Die französische Fassung verstärkt den aktuellen deutschen Master um Revolution-, Absolutheits- und Präzisionsclaims.</x:v>
      </x:c>
      <x:c r="H23" s="80" t="str">
        <x:v>Avec SMARTDOCK, vous commandez les moteurs et les propulseurs de manœuvre sans fil. Vous gardez ainsi une bonne vue d’ensemble pendant les manœuvres et pilotez votre bateau avec précision, même dans les ports exigus et par vent difficile.</x:v>
      </x:c>
      <x:c r="I23" s="80" t="str">
        <x:v>Auch FR verwendet eine ältere, deutlich stärkere Aussage als der aktuelle deutsche Master.</x:v>
      </x:c>
      <x:c r="J23" s="80" t="str">
        <x:v>home.intro.description · Zeile 165</x:v>
      </x:c>
    </x:row>
    <x:row r="24" ht="21.600000381469727" hidden="0" customHeight="1">
      <x:c r="A24" s="80" t="str">
        <x:v>Französisch (fr-FR)</x:v>
      </x:c>
      <x:c r="B24" s="80" t="str">
        <x:v>P07 Installation – Shell &amp; Dokumente</x:v>
      </x:c>
      <x:c r="C24" s="80" t="str">
        <x:v>8 aktive Inline-/SEO-/Status-Strings</x:v>
      </x:c>
      <x:c r="D24" s="80" t="str">
        <x:v>SOURCE_NOT_VERIFIED; deutsche Mastertexte sind als Fallback dokumentiert.</x:v>
      </x:c>
      <x:c r="E24" s="80" t="str">
        <x:v>Hoch</x:v>
      </x:c>
      <x:c r="F24" s="80" t="str">
        <x:v>Vollständigkeit / German Leak</x:v>
      </x:c>
      <x:c r="G24" s="80" t="str">
        <x:v>Hero-Unterzeile, SEO-Description, Ladefehler, PDF-CTA und Abschnittslabels besitzen keine verifizierte aktive FR-Quelle.</x:v>
      </x:c>
      <x:c r="H24" s="80" t="str">
        <x:v>Alle acht Strings idiomatisch ins Französische lokalisieren und aktiv verdrahten.</x:v>
      </x:c>
      <x:c r="I24" s="80" t="str">
        <x:v>Die französische Installationsseite ist in zentralen UI-Elementen nicht vollständig lokalisiert.</x:v>
      </x:c>
      <x:c r="J24" s="80" t="str">
        <x:v>P07 · 8 FR SOURCE_NOT_VERIFIED</x:v>
      </x:c>
    </x:row>
    <x:row r="25" ht="21.600000381469727" hidden="0" customHeight="1">
      <x:c r="A25" s="80" t="str">
        <x:v>Französisch (fr-FR)</x:v>
      </x:c>
      <x:c r="B25" s="80" t="str">
        <x:v>P08 Installation – technische Terminologie</x:v>
      </x:c>
      <x:c r="C25" s="80" t="str">
        <x:v>120 s (danach 120 s Pause); Abmessungen (B × H × T); ca. {value}</x:v>
      </x:c>
      <x:c r="D25" s="80" t="str">
        <x:v>SOURCE_NOT_VERIFIED mit deutschen Resten</x:v>
      </x:c>
      <x:c r="E25" s="80" t="str">
        <x:v>Hoch</x:v>
      </x:c>
      <x:c r="F25" s="80" t="str">
        <x:v>Technische Terminologie / German Leak</x:v>
      </x:c>
      <x:c r="G25" s="80" t="str">
        <x:v>Drei technische Darstellungen sind nicht als aktive französische Zieltexte verifiziert.</x:v>
      </x:c>
      <x:c r="H25" s="80" t="str">
        <x:v>120 s (puis une pause de 120 s) ; Dimensions (L × H × P) ; env. {value}</x:v>
      </x:c>
      <x:c r="I25" s="80" t="str">
        <x:v>Werte und Platzhalter sind zu bewahren; die technische Beschriftung muss französisch sein.</x:v>
      </x:c>
      <x:c r="J25" s="80" t="str">
        <x:v>P08 · 3 FR SOURCE_NOT_VERIFIED</x:v>
      </x:c>
    </x:row>
    <x:row r="26" ht="21.600000381469727" hidden="0" customHeight="1">
      <x:c r="A26" s="80" t="str">
        <x:v>Französisch (fr-FR)</x:v>
      </x:c>
      <x:c r="B26" s="80" t="str">
        <x:v>P13 Händlersuche</x:v>
      </x:c>
      <x:c r="C26" s="80" t="str">
        <x:v>Dein Standort</x:v>
      </x:c>
      <x:c r="D26" s="80" t="str">
        <x:v>SOURCE_NOT_VERIFIED: Dein Standort</x:v>
      </x:c>
      <x:c r="E26" s="80" t="str">
        <x:v>Hoch</x:v>
      </x:c>
      <x:c r="F26" s="80" t="str">
        <x:v>German Leak / UI</x:v>
      </x:c>
      <x:c r="G26" s="80" t="str">
        <x:v>Der aktive Karten-Popup-Text ist nicht als französische Zielversion abgesichert.</x:v>
      </x:c>
      <x:c r="H26" s="80" t="str">
        <x:v>Votre position</x:v>
      </x:c>
      <x:c r="I26" s="80" t="str">
        <x:v>Ein sichtbares deutsches Kartenlabel ist auf der französischen Route eindeutig falsch lokalisiert.</x:v>
      </x:c>
      <x:c r="J26" s="80" t="str">
        <x:v>dealer.map.user_location · Zeile 1015</x:v>
      </x:c>
    </x:row>
    <x:row r="27" ht="21.600000381469727" hidden="0" customHeight="1">
      <x:c r="A27" s="80" t="str">
        <x:v>Französisch (fr-FR)</x:v>
      </x:c>
      <x:c r="B27" s="80" t="str">
        <x:v>P16 Konfigurator – Auswahl &amp; Zusammenfassung</x:v>
      </x:c>
      <x:c r="C27" s="80" t="str">
        <x:v>SEO-Beschreibung und rechtlicher Unverbindlichkeits-Hinweis</x:v>
      </x:c>
      <x:c r="D27" s="80" t="str">
        <x:v>3 FR-Felder SOURCE_NOT_VERIFIED; deutsche Mastertexte dokumentiert.</x:v>
      </x:c>
      <x:c r="E27" s="80" t="str">
        <x:v>Hoch</x:v>
      </x:c>
      <x:c r="F27" s="80" t="str">
        <x:v>Vollständigkeit / Legal UI</x:v>
      </x:c>
      <x:c r="G27" s="80" t="str">
        <x:v>Die nicht bindende Natur der Konfiguration ist nicht durch eine verifizierte aktive FR-Fassung abgedeckt.</x:v>
      </x:c>
      <x:c r="H27" s="80" t="str">
        <x:v>Französische SEO- und Disclaimer-Fassung erstellen und in der aktiven Komponente wiederverwenden.</x:v>
      </x:c>
      <x:c r="I27" s="80" t="str">
        <x:v>Der Disclaimer muss im französischen Kauf-/Anfragekontext klar und vollständig sein.</x:v>
      </x:c>
      <x:c r="J27" s="80" t="str">
        <x:v>P16 · 3 FR SOURCE_NOT_VERIFIED</x:v>
      </x:c>
    </x:row>
    <x:row r="28" ht="21.600000381469727" hidden="0" customHeight="1">
      <x:c r="A28" s="80" t="str">
        <x:v>Französisch (fr-FR)</x:v>
      </x:c>
      <x:c r="B28" s="80" t="str">
        <x:v>P18 Konfigurator – Kontakt/Händler/Absenden</x:v>
      </x:c>
      <x:c r="C28" s="80" t="str">
        <x:v>Review-, Kontakt-, Validierungs-, Erfolgs-, Fehler- und PDF-Texte</x:v>
      </x:c>
      <x:c r="D28" s="80" t="str">
        <x:v>18 aktive FR-Felder SOURCE_NOT_VERIFIED; deutsche Texte als Platzhalter.</x:v>
      </x:c>
      <x:c r="E28" s="80" t="str">
        <x:v>Hoch</x:v>
      </x:c>
      <x:c r="F28" s="80" t="str">
        <x:v>Vollständigkeit / German Leak</x:v>
      </x:c>
      <x:c r="G28" s="80" t="str">
        <x:v>Mehr als die Hälfte der strukturierten P18-Oberfläche besitzt keine verifizierte aktive französische Fassung.</x:v>
      </x:c>
      <x:c r="H28" s="80" t="str">
        <x:v>Alle 18 Strings gegen den deutschen Master lokalisieren und zentral verdrahten.</x:v>
      </x:c>
      <x:c r="I28" s="80" t="str">
        <x:v>Die Lücke betrifft Kernaktionen, Validierung und Rückmeldungen der Anfrage.</x:v>
      </x:c>
      <x:c r="J28" s="80" t="str">
        <x:v>P18 · 18 FR SOURCE_NOT_VERIFIED</x:v>
      </x:c>
    </x:row>
    <x:row r="29" ht="21.600000381469727" hidden="0" customHeight="1">
      <x:c r="A29" s="80" t="str">
        <x:v>Französisch (fr-FR)</x:v>
      </x:c>
      <x:c r="B29" s="80" t="str">
        <x:v>P19 Konfigurator – Bestätigung</x:v>
      </x:c>
      <x:c r="C29" s="80" t="str">
        <x:v>Bestätigungsbeschreibung, Details, Status, Händlerkarte, Disclaimer, Fehlerzustand und Home-CTA</x:v>
      </x:c>
      <x:c r="D29" s="80" t="str">
        <x:v>Im Live-Pfad ist nur die Überschrift übersetzt; der Rest ist überwiegend hardcodiert deutsch.</x:v>
      </x:c>
      <x:c r="E29" s="80" t="str">
        <x:v>Hoch</x:v>
      </x:c>
      <x:c r="F29" s="80" t="str">
        <x:v>Laufzeit / German Leak</x:v>
      </x:c>
      <x:c r="G29" s="80" t="str">
        <x:v>Vorhandene FR-Schlüssel werden von der aktiven Bestätigungsseite nicht wirksam genutzt.</x:v>
      </x:c>
      <x:c r="H29" s="80" t="str">
        <x:v>Seite vollständig auf die freigegebenen conf_succ_*/Shared-Keys umstellen und locale-aware zurücknavigieren.</x:v>
      </x:c>
      <x:c r="I29" s="80" t="str">
        <x:v>Die Bestätigungsseite ist ein zentraler Abschlusszustand und muss vollständig französisch erscheinen.</x:v>
      </x:c>
      <x:c r="J29" s="80" t="str">
        <x:v>Active confirmation path · P19</x:v>
      </x:c>
    </x:row>
    <x:row r="30" ht="21.600000381469727" hidden="0" customHeight="1">
      <x:c r="A30" s="80" t="str">
        <x:v>Französisch (fr-FR)</x:v>
      </x:c>
      <x:c r="B30" s="80" t="str">
        <x:v>P20 Konfigurator – zusammengesetzte Werte</x:v>
      </x:c>
      <x:c r="C30" s="80" t="str">
        <x:v>Ankerwinde, Winch, Extras und Geräte-Templates</x:v>
      </x:c>
      <x:c r="D30" s="80" t="str">
        <x:v>6 FR-Werte SOURCE_NOT_VERIFIED</x:v>
      </x:c>
      <x:c r="E30" s="80" t="str">
        <x:v>Hoch</x:v>
      </x:c>
      <x:c r="F30" s="80" t="str">
        <x:v>Technische Terminologie / Vollständigkeit</x:v>
      </x:c>
      <x:c r="G30" s="80" t="str">
        <x:v>Zusammengesetzte technische Werte können deutsche Begriffe in die französische Zusammenfassung tragen.</x:v>
      </x:c>
      <x:c r="H30" s="80" t="str">
        <x:v>Begriffe über das zentrale technische Glossar und sprachabhängige Value-Templates ausgeben.</x:v>
      </x:c>
      <x:c r="I30" s="80" t="str">
        <x:v>Die dynamische Ausgabe muss dieselbe Terminologie wie Auswahl, Zusammenfassung und PDF verwenden.</x:v>
      </x:c>
      <x:c r="J30" s="80" t="str">
        <x:v>P20 · 6 FR SOURCE_NOT_VERIFIED</x:v>
      </x:c>
    </x:row>
    <x:row r="31" ht="21.600000381469727" hidden="0" customHeight="1">
      <x:c r="A31" s="80" t="str">
        <x:v>Französisch (fr-FR)</x:v>
      </x:c>
      <x:c r="B31" s="80" t="str">
        <x:v>P27 Cross-Page SEO &amp; Accessibility</x:v>
      </x:c>
      <x:c r="C31" s="80" t="str">
        <x:v>19 SEO-, Alt-, ARIA- und Titel-Strings</x:v>
      </x:c>
      <x:c r="D31" s="80" t="str">
        <x:v>SOURCE_NOT_VERIFIED; häufig deutscher Mastertext im FR-Feld.</x:v>
      </x:c>
      <x:c r="E31" s="80" t="str">
        <x:v>Hoch</x:v>
      </x:c>
      <x:c r="F31" s="80" t="str">
        <x:v>Accessibility / German Leak</x:v>
      </x:c>
      <x:c r="G31" s="80" t="str">
        <x:v>Aktive Metadaten und zugängliche Namen sind überwiegend nicht als französische Zieltexte verifiziert.</x:v>
      </x:c>
      <x:c r="H31" s="80" t="str">
        <x:v>Alle 19 Strings gegen tatsächliche Assets/UI-Kontexte lokalisieren und technisch anbinden.</x:v>
      </x:c>
      <x:c r="I31" s="80" t="str">
        <x:v>SEO und Accessibility dürfen nicht wegen fehlender Sichtbarkeit aus der Sprach-QA herausfallen.</x:v>
      </x:c>
      <x:c r="J31" s="80" t="str">
        <x:v>P27 · 19 FR SOURCE_NOT_VERIFIED</x:v>
      </x:c>
    </x:row>
    <x:row r="32" ht="21.600000381469727" hidden="0" customHeight="1">
      <x:c r="A32" s="80" t="str">
        <x:v>Französisch (fr-FR)</x:v>
      </x:c>
      <x:c r="B32" s="80" t="str">
        <x:v>P28 Raster-/Embedded-Text-Audit</x:v>
      </x:c>
      <x:c r="C32" s="80" t="str">
        <x:v>6 eingebettete Funktions-/Bedienhinweise</x:v>
      </x:c>
      <x:c r="D32" s="80" t="str">
        <x:v>FR-Quellen SOURCE_NOT_VERIFIED</x:v>
      </x:c>
      <x:c r="E32" s="80" t="str">
        <x:v>Hoch</x:v>
      </x:c>
      <x:c r="F32" s="80" t="str">
        <x:v>Asset-Lokalisierung / Vollständigkeit</x:v>
      </x:c>
      <x:c r="G32" s="80" t="str">
        <x:v>In Grafiken eingebettete Bedien- und Funktionsbegriffe besitzen keine freigegebene französische Zielversion.</x:v>
      </x:c>
      <x:c r="H32" s="80" t="str">
        <x:v>Französische Rastervarianten mit finalem App-Glossar erstellen und visuell prüfen.</x:v>
      </x:c>
      <x:c r="I32" s="80" t="str">
        <x:v>Eingebettete deutsche oder ungeprüfte Texte bleiben sonst trotz übersetzter Oberfläche sichtbar.</x:v>
      </x:c>
      <x:c r="J32" s="80" t="str">
        <x:v>P28 · 6 FR SOURCE_NOT_VERIFIED</x:v>
      </x:c>
    </x:row>
    <x:row r="33" ht="32.400001525878906" hidden="0" customHeight="1">
      <x:c r="A33" s="80" t="str">
        <x:v>Niederländisch (nl-NL)</x:v>
      </x:c>
      <x:c r="B33" s="80" t="str">
        <x:v>P26A Datenschutz – Abschnitte 1–7 (URL im Paket nicht angegeben)</x:v>
      </x:c>
      <x:c r="C33" s="80" t="str">
        <x:v>Verantwortlicher für die Datenverarbeitung auf dieser Website im Sinne der Datenschutz-Grundverordnung (DSGVO) ist:</x:v>
      </x:c>
      <x:c r="D33" s="80" t="str">
        <x:v>De verwerkingsverantwoordelijke voor de gegevensverwerking op deze website in de zin van de Datenschutz-Grundverordnung (DSGVO) is:</x:v>
      </x:c>
      <x:c r="E33" s="80" t="str">
        <x:v>Hoch</x:v>
      </x:c>
      <x:c r="F33" s="80" t="str">
        <x:v>Terminologie / Vollständigkeit</x:v>
      </x:c>
      <x:c r="G33" s="80" t="str">
        <x:v>Der deutsche Rechtsaktname und das deutsche Kürzel „DSGVO“ wurden im Zieltext stehen gelassen.</x:v>
      </x:c>
      <x:c r="H33" s="80" t="str">
        <x:v>De verwerkingsverantwoordelijke voor de gegevensverwerking op deze website in de zin van de Algemene verordening gegevensbescherming (AVG) is:</x:v>
      </x:c>
      <x:c r="I33" s="80" t="str">
        <x:v>Auf einer muttersprachlichen Datenschutzseite sollte der EU-Rechtsakt mit der in der Zielsprache etablierten Bezeichnung bzw. Abkürzung erscheinen. Das Problem wiederholt sich auf P26A/P26B.</x:v>
      </x:c>
      <x:c r="J33" s="80" t="str">
        <x:v>privacy.controller.description · Zeile 1720</x:v>
      </x:c>
    </x:row>
    <x:row r="34" ht="32.400001525878906" hidden="0" customHeight="1">
      <x:c r="A34" s="80" t="str">
        <x:v>Niederländisch (nl-NL)</x:v>
      </x:c>
      <x:c r="B34" s="80" t="str">
        <x:v>P26A/P26B Datenschutz (websiteweit in den Rechtsgrundlagen)</x:v>
      </x:c>
      <x:c r="C34" s="80" t="str">
        <x:v>… gemäß Art. 6 Abs. 1 S. 1 lit. f DSGVO …</x:v>
      </x:c>
      <x:c r="D34" s="80" t="str">
        <x:v>… Art. 6 Abs. 1 S. 1 lit. f DSGVO …</x:v>
      </x:c>
      <x:c r="E34" s="80" t="str">
        <x:v>Hoch</x:v>
      </x:c>
      <x:c r="F34" s="80" t="str">
        <x:v>Terminologie / Natürlichkeit</x:v>
      </x:c>
      <x:c r="G34" s="80" t="str">
        <x:v>Deutsche Zitierabkürzungen („Abs.“, „S.“, „lit.“) und „DSGVO“ werden unverändert in fremdsprachige Sätze eingebettet.</x:v>
      </x:c>
      <x:c r="H34" s="80" t="str">
        <x:v>… overeenkomstig art. 6 lid 1, eerste volzin, onder f, AVG …</x:v>
      </x:c>
      <x:c r="I34" s="80" t="str">
        <x:v>Der materielle Artikelbezug kann erhalten bleiben, die Darstellungsform sollte jedoch der jeweiligen Zielsprache entsprechen. Die deutsche Syntax wirkt wie ein nicht lokalisierter Textbaustein.</x:v>
      </x:c>
      <x:c r="J34" s="80" t="str">
        <x:v>privacy.server_logs.purpose · Zeile 1726</x:v>
      </x:c>
    </x:row>
    <x:row r="35" ht="32.400001525878906" hidden="0" customHeight="1">
      <x:c r="A35" s="80" t="str">
        <x:v>Niederländisch (nl-NL)</x:v>
      </x:c>
      <x:c r="B35" s="80" t="str">
        <x:v>P26B Datenschutz – Abschnitte 8–14 (URL im Paket nicht angegeben)</x:v>
      </x:c>
      <x:c r="C35" s="80" t="str">
        <x:v>Auch mit Hetzner haben wir einen entsprechenden Vertrag zur Auftragsverarbeitung (AVV) abgeschlossen, …</x:v>
      </x:c>
      <x:c r="D35" s="80" t="str">
        <x:v>Ook met Hetzner hebben wij een passende verwerkersovereenkomst (AVV) gesloten om uw gegevens bij het domein- en DNS-beheer te beschermen.</x:v>
      </x:c>
      <x:c r="E35" s="80" t="str">
        <x:v>Hoch</x:v>
      </x:c>
      <x:c r="F35" s="80" t="str">
        <x:v>Terminologie</x:v>
      </x:c>
      <x:c r="G35" s="80" t="str">
        <x:v>Die deutsche Abkürzung „AVV“ bleibt nach einem bereits lokalisierten Vertragsterm stehen und ist für Zielsprachler nicht selbsterklärend.</x:v>
      </x:c>
      <x:c r="H35" s="80" t="str">
        <x:v>Ook met Hetzner hebben wij een passende verwerkersovereenkomst gesloten …</x:v>
      </x:c>
      <x:c r="I35" s="80" t="str">
        <x:v>Entweder die ausgeschriebene lokale Fachbezeichnung ohne Kürzel verwenden oder ein ausdrücklich freigegebenes, lokal verständliches Kürzel definieren. Das Problem tritt auch beim Hosting-Abschnitt auf.</x:v>
      </x:c>
      <x:c r="J35" s="80" t="str">
        <x:v>privacy.dns.dpa_retention · Zeile 1794</x:v>
      </x:c>
    </x:row>
    <x:row r="36" ht="43.20000076293945" hidden="0" customHeight="1">
      <x:c r="A36" s="80" t="str">
        <x:v>Niederländisch (nl-NL)</x:v>
      </x:c>
      <x:c r="B36" s="80" t="str">
        <x:v>P25 Impressum (URL im Paket nicht angegeben)</x:v>
      </x:c>
      <x:c r="C36" s="80" t="str">
        <x:v>… gemäß § 7 Abs.1 TMG … Nach §§ 8 bis 10 TMG …</x:v>
      </x:c>
      <x:c r="D36" s="80" t="str">
        <x:v>Als dienstverlener zijn wij overeenkomstig § 7 Abs.1 TMG volgens de algemene wetgeving verantwoordelijk voor onze eigen inhoud op deze pagina's. Overeenkomstig §§ 8 bis 10 TMG zijn wij echter niet verplicht om doorgegeven of opgeslagen informatie van derden te…</x:v>
      </x:c>
      <x:c r="E36" s="80" t="str">
        <x:v>Hoch</x:v>
      </x:c>
      <x:c r="F36" s="80" t="str">
        <x:v>Terminologie / Vollständigkeit</x:v>
      </x:c>
      <x:c r="G36" s="80" t="str">
        <x:v>Deutsche Zitierkürzel bzw. das deutsche Wort „bis“ sind im Zieltext stehen geblieben.</x:v>
      </x:c>
      <x:c r="H36" s="80" t="str">
        <x:v>… overeenkomstig § 7 lid 1 TMG … Op grond van §§ 8–10 TMG …</x:v>
      </x:c>
      <x:c r="I36" s="80" t="str">
        <x:v>Der deutsche Gesetzesname bzw. das Kürzel TMG kann als deutscher Rechtsbezug bestehen bleiben; die umgebende Zitierweise sollte aber nicht teilweise deutsch sein.</x:v>
      </x:c>
      <x:c r="J36" s="80" t="str">
        <x:v>imprint.disclaimer.tmg · Zeile 1684</x:v>
      </x:c>
    </x:row>
    <x:row r="37" ht="32.400001525878906" hidden="0" customHeight="1">
      <x:c r="A37" s="80" t="str">
        <x:v>Norwegisch Bokmål (nb-NO)</x:v>
      </x:c>
      <x:c r="B37" s="80" t="str">
        <x:v>P26A Datenschutz – Abschnitte 1–7 (URL im Paket nicht angegeben)</x:v>
      </x:c>
      <x:c r="C37" s="80" t="str">
        <x:v>Verantwortlicher für die Datenverarbeitung auf dieser Website im Sinne der Datenschutz-Grundverordnung (DSGVO) ist:</x:v>
      </x:c>
      <x:c r="D37" s="80" t="str">
        <x:v>Behandlingsansvarlig for databehandlingen på dette nettstedet i henhold til Datenschutz-Grundverordnung (DSGVO) er:</x:v>
      </x:c>
      <x:c r="E37" s="80" t="str">
        <x:v>Hoch</x:v>
      </x:c>
      <x:c r="F37" s="80" t="str">
        <x:v>Terminologie / Vollständigkeit</x:v>
      </x:c>
      <x:c r="G37" s="80" t="str">
        <x:v>Der deutsche Rechtsaktname und das deutsche Kürzel „DSGVO“ wurden im Zieltext stehen gelassen.</x:v>
      </x:c>
      <x:c r="H37" s="80" t="str">
        <x:v>Behandlingsansvarlig for behandlingen av personopplysninger på dette nettstedet i henhold til personvernforordningen (GDPR) er:</x:v>
      </x:c>
      <x:c r="I37" s="80" t="str">
        <x:v>Auf einer muttersprachlichen Datenschutzseite sollte der EU-Rechtsakt mit der in der Zielsprache etablierten Bezeichnung bzw. Abkürzung erscheinen. Das Problem wiederholt sich auf P26A/P26B.</x:v>
      </x:c>
      <x:c r="J37" s="80" t="str">
        <x:v>privacy.controller.description · Zeile 1720</x:v>
      </x:c>
    </x:row>
    <x:row r="38" ht="32.400001525878906" hidden="0" customHeight="1">
      <x:c r="A38" s="80" t="str">
        <x:v>Norwegisch Bokmål (nb-NO)</x:v>
      </x:c>
      <x:c r="B38" s="80" t="str">
        <x:v>P26A/P26B Datenschutz (websiteweit in den Rechtsgrundlagen)</x:v>
      </x:c>
      <x:c r="C38" s="80" t="str">
        <x:v>… gemäß Art. 6 Abs. 1 S. 1 lit. f DSGVO …</x:v>
      </x:c>
      <x:c r="D38" s="80" t="str">
        <x:v>… Art. 6 Abs. 1 S. 1 lit. f DSGVO …</x:v>
      </x:c>
      <x:c r="E38" s="80" t="str">
        <x:v>Hoch</x:v>
      </x:c>
      <x:c r="F38" s="80" t="str">
        <x:v>Terminologie / Natürlichkeit</x:v>
      </x:c>
      <x:c r="G38" s="80" t="str">
        <x:v>Deutsche Zitierabkürzungen („Abs.“, „S.“, „lit.“) und „DSGVO“ werden unverändert in fremdsprachige Sätze eingebettet.</x:v>
      </x:c>
      <x:c r="H38" s="80" t="str">
        <x:v>… i henhold til artikkel 6 nr. 1 første punktum bokstav f i GDPR …</x:v>
      </x:c>
      <x:c r="I38" s="80" t="str">
        <x:v>Der materielle Artikelbezug kann erhalten bleiben, die Darstellungsform sollte jedoch der jeweiligen Zielsprache entsprechen. Die deutsche Syntax wirkt wie ein nicht lokalisierter Textbaustein.</x:v>
      </x:c>
      <x:c r="J38" s="80" t="str">
        <x:v>privacy.server_logs.purpose · Zeile 1726</x:v>
      </x:c>
    </x:row>
    <x:row r="39" ht="32.400001525878906" hidden="0" customHeight="1">
      <x:c r="A39" s="80" t="str">
        <x:v>Norwegisch Bokmål (nb-NO)</x:v>
      </x:c>
      <x:c r="B39" s="80" t="str">
        <x:v>P26B Datenschutz – Abschnitte 8–14 (URL im Paket nicht angegeben)</x:v>
      </x:c>
      <x:c r="C39" s="80" t="str">
        <x:v>Auch mit Hetzner haben wir einen entsprechenden Vertrag zur Auftragsverarbeitung (AVV) abgeschlossen, …</x:v>
      </x:c>
      <x:c r="D39" s="80" t="str">
        <x:v>Vi har også inngått en tilsvarende databehandleravtale (AVV) med Hetzner for å beskytte opplysningene dine ved domene- og DNS-administrasjon.</x:v>
      </x:c>
      <x:c r="E39" s="80" t="str">
        <x:v>Hoch</x:v>
      </x:c>
      <x:c r="F39" s="80" t="str">
        <x:v>Terminologie</x:v>
      </x:c>
      <x:c r="G39" s="80" t="str">
        <x:v>Die deutsche Abkürzung „AVV“ bleibt nach einem bereits lokalisierten Vertragsterm stehen und ist für Zielsprachler nicht selbsterklärend.</x:v>
      </x:c>
      <x:c r="H39" s="80" t="str">
        <x:v>Vi har også inngått en tilsvarende databehandleravtale med Hetzner …</x:v>
      </x:c>
      <x:c r="I39" s="80" t="str">
        <x:v>Entweder die ausgeschriebene lokale Fachbezeichnung ohne Kürzel verwenden oder ein ausdrücklich freigegebenes, lokal verständliches Kürzel definieren. Das Problem tritt auch beim Hosting-Abschnitt auf.</x:v>
      </x:c>
      <x:c r="J39" s="80" t="str">
        <x:v>privacy.dns.dpa_retention · Zeile 1794</x:v>
      </x:c>
    </x:row>
    <x:row r="40" ht="43.20000076293945" hidden="0" customHeight="1">
      <x:c r="A40" s="80" t="str">
        <x:v>Norwegisch Bokmål (nb-NO)</x:v>
      </x:c>
      <x:c r="B40" s="80" t="str">
        <x:v>P25 Impressum (URL im Paket nicht angegeben)</x:v>
      </x:c>
      <x:c r="C40" s="80" t="str">
        <x:v>… gemäß § 7 Abs.1 TMG … Nach §§ 8 bis 10 TMG …</x:v>
      </x:c>
      <x:c r="D40" s="80" t="str">
        <x:v>Som tjenesteleverandør er vi i henhold til § 7 Abs.1 TMG ansvarlige for vårt eget innhold på disse sidene etter alminnelig lovgivning. I henhold til §§ 8 bis 10 TMG er vi som tjenesteleverandør likevel ikke forpliktet til å overvåke overført eller lagret infor…</x:v>
      </x:c>
      <x:c r="E40" s="80" t="str">
        <x:v>Hoch</x:v>
      </x:c>
      <x:c r="F40" s="80" t="str">
        <x:v>Terminologie / Vollständigkeit</x:v>
      </x:c>
      <x:c r="G40" s="80" t="str">
        <x:v>Deutsche Zitierkürzel bzw. das deutsche Wort „bis“ sind im Zieltext stehen geblieben.</x:v>
      </x:c>
      <x:c r="H40" s="80" t="str">
        <x:v>… i henhold til § 7 første ledd TMG … I henhold til §§ 8–10 TMG …</x:v>
      </x:c>
      <x:c r="I40" s="80" t="str">
        <x:v>Der deutsche Gesetzesname bzw. das Kürzel TMG kann als deutscher Rechtsbezug bestehen bleiben; die umgebende Zitierweise sollte aber nicht teilweise deutsch sein.</x:v>
      </x:c>
      <x:c r="J40" s="80" t="str">
        <x:v>imprint.disclaimer.tmg · Zeile 1684</x:v>
      </x:c>
    </x:row>
    <x:row r="41" ht="32.400001525878906" hidden="0" customHeight="1">
      <x:c r="A41" s="80" t="str">
        <x:v>Schwedisch (sv-SE)</x:v>
      </x:c>
      <x:c r="B41" s="80" t="str">
        <x:v>P26A Datenschutz – Abschnitte 1–7 (URL im Paket nicht angegeben)</x:v>
      </x:c>
      <x:c r="C41" s="80" t="str">
        <x:v>Verantwortlicher für die Datenverarbeitung auf dieser Website im Sinne der Datenschutz-Grundverordnung (DSGVO) ist:</x:v>
      </x:c>
      <x:c r="D41" s="80" t="str">
        <x:v>Personuppgiftsansvarig för behandlingen av personuppgifter på denna webbplats enligt Datenschutz-Grundverordnung (DSGVO) är:</x:v>
      </x:c>
      <x:c r="E41" s="80" t="str">
        <x:v>Hoch</x:v>
      </x:c>
      <x:c r="F41" s="80" t="str">
        <x:v>Terminologie / Vollständigkeit</x:v>
      </x:c>
      <x:c r="G41" s="80" t="str">
        <x:v>Der deutsche Rechtsaktname und das deutsche Kürzel „DSGVO“ wurden im Zieltext stehen gelassen.</x:v>
      </x:c>
      <x:c r="H41" s="80" t="str">
        <x:v>Personuppgiftsansvarig för behandlingen av personuppgifter på denna webbplats enligt dataskyddsförordningen (GDPR) är:</x:v>
      </x:c>
      <x:c r="I41" s="80" t="str">
        <x:v>Auf einer muttersprachlichen Datenschutzseite sollte der EU-Rechtsakt mit der in der Zielsprache etablierten Bezeichnung bzw. Abkürzung erscheinen. Das Problem wiederholt sich auf P26A/P26B.</x:v>
      </x:c>
      <x:c r="J41" s="80" t="str">
        <x:v>privacy.controller.description · Zeile 1720</x:v>
      </x:c>
    </x:row>
    <x:row r="42" ht="32.400001525878906" hidden="0" customHeight="1">
      <x:c r="A42" s="80" t="str">
        <x:v>Schwedisch (sv-SE)</x:v>
      </x:c>
      <x:c r="B42" s="80" t="str">
        <x:v>P26A/P26B Datenschutz (websiteweit in den Rechtsgrundlagen)</x:v>
      </x:c>
      <x:c r="C42" s="80" t="str">
        <x:v>… gemäß Art. 6 Abs. 1 S. 1 lit. f DSGVO …</x:v>
      </x:c>
      <x:c r="D42" s="80" t="str">
        <x:v>… Art. 6 Abs. 1 S. 1 lit. f DSGVO …</x:v>
      </x:c>
      <x:c r="E42" s="80" t="str">
        <x:v>Hoch</x:v>
      </x:c>
      <x:c r="F42" s="80" t="str">
        <x:v>Terminologie / Natürlichkeit</x:v>
      </x:c>
      <x:c r="G42" s="80" t="str">
        <x:v>Deutsche Zitierabkürzungen („Abs.“, „S.“, „lit.“) und „DSGVO“ werden unverändert in fremdsprachige Sätze eingebettet.</x:v>
      </x:c>
      <x:c r="H42" s="80" t="str">
        <x:v>… enligt artikel 6.1 första meningen f GDPR …</x:v>
      </x:c>
      <x:c r="I42" s="80" t="str">
        <x:v>Der materielle Artikelbezug kann erhalten bleiben, die Darstellungsform sollte jedoch der jeweiligen Zielsprache entsprechen. Die deutsche Syntax wirkt wie ein nicht lokalisierter Textbaustein.</x:v>
      </x:c>
      <x:c r="J42" s="80" t="str">
        <x:v>privacy.server_logs.purpose · Zeile 1726</x:v>
      </x:c>
    </x:row>
    <x:row r="43" ht="32.400001525878906" hidden="0" customHeight="1">
      <x:c r="A43" s="80" t="str">
        <x:v>Schwedisch (sv-SE)</x:v>
      </x:c>
      <x:c r="B43" s="80" t="str">
        <x:v>P26B Datenschutz – Abschnitte 8–14 (URL im Paket nicht angegeben)</x:v>
      </x:c>
      <x:c r="C43" s="80" t="str">
        <x:v>Auch mit Hetzner haben wir einen entsprechenden Vertrag zur Auftragsverarbeitung (AVV) abgeschlossen, …</x:v>
      </x:c>
      <x:c r="D43" s="80" t="str">
        <x:v>Vi har också ingått ett motsvarande personuppgiftsbiträdesavtal (AVV) med Hetzner för att skydda dina uppgifter vid domän- och DNS-hantering.</x:v>
      </x:c>
      <x:c r="E43" s="80" t="str">
        <x:v>Hoch</x:v>
      </x:c>
      <x:c r="F43" s="80" t="str">
        <x:v>Terminologie</x:v>
      </x:c>
      <x:c r="G43" s="80" t="str">
        <x:v>Die deutsche Abkürzung „AVV“ bleibt nach einem bereits lokalisierten Vertragsterm stehen und ist für Zielsprachler nicht selbsterklärend.</x:v>
      </x:c>
      <x:c r="H43" s="80" t="str">
        <x:v>Vi har också ingått ett motsvarande personuppgiftsbiträdesavtal med Hetzner …</x:v>
      </x:c>
      <x:c r="I43" s="80" t="str">
        <x:v>Entweder die ausgeschriebene lokale Fachbezeichnung ohne Kürzel verwenden oder ein ausdrücklich freigegebenes, lokal verständliches Kürzel definieren. Das Problem tritt auch beim Hosting-Abschnitt auf.</x:v>
      </x:c>
      <x:c r="J43" s="80" t="str">
        <x:v>privacy.dns.dpa_retention · Zeile 1794</x:v>
      </x:c>
    </x:row>
    <x:row r="44" ht="43.20000076293945" hidden="0" customHeight="1">
      <x:c r="A44" s="80" t="str">
        <x:v>Schwedisch (sv-SE)</x:v>
      </x:c>
      <x:c r="B44" s="80" t="str">
        <x:v>P25 Impressum (URL im Paket nicht angegeben)</x:v>
      </x:c>
      <x:c r="C44" s="80" t="str">
        <x:v>… gemäß § 7 Abs.1 TMG … Nach §§ 8 bis 10 TMG …</x:v>
      </x:c>
      <x:c r="D44" s="80" t="str">
        <x:v>Som tjänsteleverantör ansvarar vi enligt § 7 Abs.1 TMG för vårt eget innehåll på dessa sidor i enlighet med allmän lagstiftning. Enligt §§ 8 bis 10 TMG är vi som tjänsteleverantör dock inte skyldiga att övervaka överförd eller lagrad information från tredje pa…</x:v>
      </x:c>
      <x:c r="E44" s="80" t="str">
        <x:v>Hoch</x:v>
      </x:c>
      <x:c r="F44" s="80" t="str">
        <x:v>Terminologie / Vollständigkeit</x:v>
      </x:c>
      <x:c r="G44" s="80" t="str">
        <x:v>Deutsche Zitierkürzel bzw. das deutsche Wort „bis“ sind im Zieltext stehen geblieben.</x:v>
      </x:c>
      <x:c r="H44" s="80" t="str">
        <x:v>… enligt § 7.1 TMG … Enligt §§ 8–10 TMG …</x:v>
      </x:c>
      <x:c r="I44" s="80" t="str">
        <x:v>Der deutsche Gesetzesname bzw. das Kürzel TMG kann als deutscher Rechtsbezug bestehen bleiben; die umgebende Zitierweise sollte aber nicht teilweise deutsch sein.</x:v>
      </x:c>
      <x:c r="J44" s="80" t="str">
        <x:v>imprint.disclaimer.tmg · Zeile 1684</x:v>
      </x:c>
    </x:row>
    <x:row r="45" ht="32.400001525878906" hidden="0" customHeight="1">
      <x:c r="A45" s="80" t="str">
        <x:v>Spanisch (es-ES)</x:v>
      </x:c>
      <x:c r="B45" s="80" t="str">
        <x:v>P26A Datenschutz – Abschnitte 1–7 (URL im Paket nicht angegeben)</x:v>
      </x:c>
      <x:c r="C45" s="80" t="str">
        <x:v>Verantwortlicher für die Datenverarbeitung auf dieser Website im Sinne der Datenschutz-Grundverordnung (DSGVO) ist:</x:v>
      </x:c>
      <x:c r="D45" s="80" t="str">
        <x:v>El responsable del tratamiento de datos en este sitio web conforme a la Datenschutz-Grundverordnung (DSGVO) es:</x:v>
      </x:c>
      <x:c r="E45" s="80" t="str">
        <x:v>Hoch</x:v>
      </x:c>
      <x:c r="F45" s="80" t="str">
        <x:v>Terminologie / Vollständigkeit</x:v>
      </x:c>
      <x:c r="G45" s="80" t="str">
        <x:v>Der deutsche Rechtsaktname und das deutsche Kürzel „DSGVO“ wurden im Zieltext stehen gelassen.</x:v>
      </x:c>
      <x:c r="H45" s="80" t="str">
        <x:v>El responsable del tratamiento de datos en este sitio web conforme al Reglamento General de Protección de Datos (RGPD) es:</x:v>
      </x:c>
      <x:c r="I45" s="80" t="str">
        <x:v>Auf einer muttersprachlichen Datenschutzseite sollte der EU-Rechtsakt mit der in der Zielsprache etablierten Bezeichnung bzw. Abkürzung erscheinen. Das Problem wiederholt sich auf P26A/P26B.</x:v>
      </x:c>
      <x:c r="J45" s="80" t="str">
        <x:v>privacy.controller.description · Zeile 1720</x:v>
      </x:c>
    </x:row>
    <x:row r="46" ht="32.400001525878906" hidden="0" customHeight="1">
      <x:c r="A46" s="80" t="str">
        <x:v>Spanisch (es-ES)</x:v>
      </x:c>
      <x:c r="B46" s="80" t="str">
        <x:v>P26A/P26B Datenschutz (websiteweit in den Rechtsgrundlagen)</x:v>
      </x:c>
      <x:c r="C46" s="80" t="str">
        <x:v>… gemäß Art. 6 Abs. 1 S. 1 lit. f DSGVO …</x:v>
      </x:c>
      <x:c r="D46" s="80" t="str">
        <x:v>… Art. 6 Abs. 1 S. 1 lit. f DSGVO …</x:v>
      </x:c>
      <x:c r="E46" s="80" t="str">
        <x:v>Hoch</x:v>
      </x:c>
      <x:c r="F46" s="80" t="str">
        <x:v>Terminologie / Natürlichkeit</x:v>
      </x:c>
      <x:c r="G46" s="80" t="str">
        <x:v>Deutsche Zitierabkürzungen („Abs.“, „S.“, „lit.“) und „DSGVO“ werden unverändert in fremdsprachige Sätze eingebettet.</x:v>
      </x:c>
      <x:c r="H46" s="80" t="str">
        <x:v>… de conformidad con el art. 6.1, primera frase, letra f), del RGPD …</x:v>
      </x:c>
      <x:c r="I46" s="80" t="str">
        <x:v>Der materielle Artikelbezug kann erhalten bleiben, die Darstellungsform sollte jedoch der jeweiligen Zielsprache entsprechen. Die deutsche Syntax wirkt wie ein nicht lokalisierter Textbaustein.</x:v>
      </x:c>
      <x:c r="J46" s="80" t="str">
        <x:v>privacy.server_logs.purpose · Zeile 1726</x:v>
      </x:c>
    </x:row>
    <x:row r="47" ht="32.400001525878906" hidden="0" customHeight="1">
      <x:c r="A47" s="80" t="str">
        <x:v>Spanisch (es-ES)</x:v>
      </x:c>
      <x:c r="B47" s="80" t="str">
        <x:v>P26B Datenschutz – Abschnitte 8–14 (URL im Paket nicht angegeben)</x:v>
      </x:c>
      <x:c r="C47" s="80" t="str">
        <x:v>Auch mit Hetzner haben wir einen entsprechenden Vertrag zur Auftragsverarbeitung (AVV) abgeschlossen, …</x:v>
      </x:c>
      <x:c r="D47" s="80" t="str">
        <x:v>También hemos celebrado el correspondiente contrato de tratamiento por encargo (AVV) con Hetzner para garantizar la protección de sus datos durante la gestión del dominio y del DNS.</x:v>
      </x:c>
      <x:c r="E47" s="80" t="str">
        <x:v>Hoch</x:v>
      </x:c>
      <x:c r="F47" s="80" t="str">
        <x:v>Terminologie</x:v>
      </x:c>
      <x:c r="G47" s="80" t="str">
        <x:v>Die deutsche Abkürzung „AVV“ bleibt nach einem bereits lokalisierten Vertragsterm stehen und ist für Zielsprachler nicht selbsterklärend.</x:v>
      </x:c>
      <x:c r="H47" s="80" t="str">
        <x:v>También hemos celebrado el correspondiente contrato de encargo del tratamiento con Hetzner …</x:v>
      </x:c>
      <x:c r="I47" s="80" t="str">
        <x:v>Entweder die ausgeschriebene lokale Fachbezeichnung ohne Kürzel verwenden oder ein ausdrücklich freigegebenes, lokal verständliches Kürzel definieren. Das Problem tritt auch beim Hosting-Abschnitt auf.</x:v>
      </x:c>
      <x:c r="J47" s="80" t="str">
        <x:v>privacy.dns.dpa_retention · Zeile 1794</x:v>
      </x:c>
    </x:row>
    <x:row r="48" ht="43.20000076293945" hidden="0" customHeight="1">
      <x:c r="A48" s="80" t="str">
        <x:v>Spanisch (es-ES)</x:v>
      </x:c>
      <x:c r="B48" s="80" t="str">
        <x:v>P25 Impressum (URL im Paket nicht angegeben)</x:v>
      </x:c>
      <x:c r="C48" s="80" t="str">
        <x:v>… gemäß § 7 Abs.1 TMG … Nach §§ 8 bis 10 TMG …</x:v>
      </x:c>
      <x:c r="D48" s="80" t="str">
        <x:v>Como prestador de servicios somos responsables de nuestros propios contenidos en estas páginas conforme al § 7 Abs.1 TMG y a la legislación general. Sin embargo, conforme a los §§ 8 bis 10 TMG, no estamos obligados a supervisar información de terceros transmit…</x:v>
      </x:c>
      <x:c r="E48" s="80" t="str">
        <x:v>Hoch</x:v>
      </x:c>
      <x:c r="F48" s="80" t="str">
        <x:v>Terminologie / Vollständigkeit</x:v>
      </x:c>
      <x:c r="G48" s="80" t="str">
        <x:v>Deutsche Zitierkürzel bzw. das deutsche Wort „bis“ sind im Zieltext stehen geblieben.</x:v>
      </x:c>
      <x:c r="H48" s="80" t="str">
        <x:v>… de conformidad con el § 7(1) TMG … De acuerdo con los §§ 8–10 TMG …</x:v>
      </x:c>
      <x:c r="I48" s="80" t="str">
        <x:v>Der deutsche Gesetzesname bzw. das Kürzel TMG kann als deutscher Rechtsbezug bestehen bleiben; die umgebende Zitierweise sollte aber nicht teilweise deutsch sein.</x:v>
      </x:c>
      <x:c r="J48" s="80" t="str">
        <x:v>imprint.disclaimer.tmg · Zeile 1684</x:v>
      </x:c>
    </x:row>
    <x:row r="49" ht="32.400001525878906" hidden="0" customHeight="1">
      <x:c r="A49" s="81" t="str">
        <x:v>DA/ES/NL/NB/SV</x:v>
      </x:c>
      <x:c r="B49" s="81" t="str">
        <x:v>P16 Konfigurator – Volvo-Penta-Option (URL im Paket nicht angegeben)</x:v>
      </x:c>
      <x:c r="C49" s="81" t="str">
        <x:v>Joystick EVC 2.0 &amp; D E (Volvo Penta)</x:v>
      </x:c>
      <x:c r="D49" s="81" t="str">
        <x:v>Joystick EVC 2.0 &amp; D E (Volvo Penta)</x:v>
      </x:c>
      <x:c r="E49" s="81" t="str">
        <x:v>Mittel</x:v>
      </x:c>
      <x:c r="F49" s="81" t="str">
        <x:v>Terminologie / Quelltext</x:v>
      </x:c>
      <x:c r="G49" s="81" t="str">
        <x:v>Kontext erforderlich – keine sichere Bewertung möglich. Die technische Bezeichnung „EVC 2.0 &amp; D E“ wirkt im Master selbst uneindeutig und weicht vom Muster „EVC -D, -E“ ab.</x:v>
      </x:c>
      <x:c r="H49" s="81" t="str">
        <x:v>Nach technischer Freigabe vereinheitlichen; falls gemeint: z. B. „Joystick EVC 2.0 &amp; D/E (Volvo Penta)“.</x:v>
      </x:c>
      <x:c r="I49" s="81" t="str">
        <x:v>Da der String als DO_NOT_TRANSLATE markiert ist, ist dies kein Übersetzungsfehler. Die exakte Produkt-/Systembezeichnung muss technisch bestätigt werden.</x:v>
      </x:c>
      <x:c r="J49" s="81" t="str">
        <x:v>configurator.volvo.joystick_evc_20_de · Zeile 1167</x:v>
      </x:c>
    </x:row>
    <x:row r="50" ht="108" hidden="0" customHeight="1">
      <x:c r="A50" s="81" t="str">
        <x:v>Dänisch (da-DK)</x:v>
      </x:c>
      <x:c r="B50" s="81" t="str">
        <x:v>P16 Konfigurator + P25 Impressum</x:v>
      </x:c>
      <x:c r="C50" s="81" t="str">
        <x:v>Alle genannten Marken, Produktnamen und Logos (einschließlich, aber nicht beschränkt auf Volvo Penta, MerCruiser, Mercury, Yamaha, EPT, Quick, Sleipner, Vetus, Lewmar und Max Power) sind eingetragene Marken oder Marken der jeweiligen Rechteinhaber. Zwischen der Thitronik GmbH und den jeweiligen Markeninhabern bestehen keine geschäftlichen Verbindungen, Partnerschaften oder Autorisierungen, sofern nicht ausdrücklich anders angegeben. Die Nennung der Markennamen erfolgt ausschließlich zur Beschreibung der technischen Kompatibilität der SMARTDOCK/THITRONIK® Produkte.</x:v>
      </x:c>
      <x:c r="D50" s="81" t="str">
        <x:v>Alle nævnte varemærker, produktnavne og logoer (herunder, men ikke begrænset til, Volvo Penta, MerCruiser, Mercury, Yamaha, EPT, Quick, Sleipner, Vetus, Lewmar og Max Power) er registrerede varemærker eller varemærker tilhørende de respektive rettighedshavere. Der består ingen forretningsforbindelser, partnerskaber eller autorisationer mellem Thitronik GmbH og de respektive varemærkeindehavere, medmindre andet udtrykkeligt er angivet. Varemærkerne nævnes udelukkende for at beskrive den tekniske kompatibilitet af SMARTDOCK/THITRONIK®-produkterne.</x:v>
      </x:c>
      <x:c r="E50" s="81" t="str">
        <x:v>Mittel</x:v>
      </x:c>
      <x:c r="F50" s="81" t="str">
        <x:v>Konsistenz</x:v>
      </x:c>
      <x:c r="G50" s="81" t="str">
        <x:v>Der identische deutsche Markenhinweis ist an zwei Stellen unterschiedlich übersetzt.</x:v>
      </x:c>
      <x:c r="H50" s="81" t="str">
        <x:v>Alle nævnte varemærker, produktnavne og logoer (herunder, men ikke begrænset til, Volvo Penta, MerCruiser, Mercury, Yamaha, EPT, Quick, Sleipner, Vetus, Lewmar og Max Power) er registrerede varemærker eller varemærker tilhørende de respektive rettighedshavere. Medmindre andet udtrykkeligt er angivet, består der ingen forretningsforbindelser, partnerskaber eller autorisationer mellem Thitronik GmbH og de respektive varemærkeindehavere. Varemærkenavnene nævnes udelukkende for at beskrive SMARTDOCK/THITRONIK®-produkternes tekniske kompatibilitet.</x:v>
      </x:c>
      <x:c r="I50" s="81" t="str">
        <x:v>Beide Varianten sind inhaltlich weitgehend korrekt; bei einem identischen rechtlich relevanten Quellstring sollte jedoch pro Locale exakt dieselbe freigegebene Fassung wiederverwendet werden.</x:v>
      </x:c>
      <x:c r="J50" s="81" t="str">
        <x:v>configurator.trademark_disclaimer ↔ imprint.disclaimer.trademarks · Zeile 1685</x:v>
      </x:c>
    </x:row>
    <x:row r="51" ht="32.400001525878906" hidden="0" customHeight="1">
      <x:c r="A51" s="81" t="str">
        <x:v>Dänisch (da-DK)</x:v>
      </x:c>
      <x:c r="B51" s="81" t="str">
        <x:v>P05 Produkt – Technik &amp; Conversion (URL im Paket nicht angegeben)</x:v>
      </x:c>
      <x:c r="C51" s="81" t="str">
        <x:v>Die Steuerinformationen aus der App werden in Signale für die Strahlruder umgewandelt, so dass eine gezielte Bedienung in die gewünschte Richtung möglich ist.</x:v>
      </x:c>
      <x:c r="D51" s="81" t="str">
        <x:v>Styrekommandoerne fra appen omdannes til signaler til thrusterne, så de kan betjenes målrettet i den ønskede retning.</x:v>
      </x:c>
      <x:c r="E51" s="81" t="str">
        <x:v>Mittel</x:v>
      </x:c>
      <x:c r="F51" s="81" t="str">
        <x:v>Natürlichkeit / technische Sprache</x:v>
      </x:c>
      <x:c r="G51" s="81" t="str">
        <x:v>Die Kombination aus „målrettet/riktat“ und „i den ønskede/önskad(e) retning“ wirkt tautologisch bzw. wie eine direkte Übersetzung.</x:v>
      </x:c>
      <x:c r="H51" s="81" t="str">
        <x:v>Styrekommandoerne fra appen omdannes til signaler til thrusterne, så de kan styres præcist i den ønskede retning.</x:v>
      </x:c>
      <x:c r="I51" s="81" t="str">
        <x:v>„präzise steuern“ ist im technischen Produktkontext natürlicher, ohne die Aussage zu verändern.</x:v>
      </x:c>
      <x:c r="J51" s="81" t="str">
        <x:v>product.tcu.description_2 · Zeile 277</x:v>
      </x:c>
    </x:row>
    <x:row r="52" ht="21.600000381469727" hidden="0" customHeight="1">
      <x:c r="A52" s="81" t="str">
        <x:v>Englisch (en)</x:v>
      </x:c>
      <x:c r="B52" s="81" t="str">
        <x:v>P01 Homepage – Kerntexte</x:v>
      </x:c>
      <x:c r="C52" s="81" t="str">
        <x:v>Mit SMARTDOCK manövrierst du dein Boot … / Modular aufgebaut. Passend zu deinem Boot.</x:v>
      </x:c>
      <x:c r="D52" s="81" t="str">
        <x:v>Manoeuvre your boat … / Modular Design. Perfectly Fit for Your Boat.</x:v>
      </x:c>
      <x:c r="E52" s="81" t="str">
        <x:v>Mittel</x:v>
      </x:c>
      <x:c r="F52" s="81" t="str">
        <x:v>Vollständigkeit / Natürlichkeit</x:v>
      </x:c>
      <x:c r="G52" s="81" t="str">
        <x:v>Die Hero-Unterzeile lässt SMARTDOCK aus; „Perfectly Fit“ ist als Headline unidiomatisch und verstärkt den Master.</x:v>
      </x:c>
      <x:c r="H52" s="81" t="str">
        <x:v>With SMARTDOCK, manoeuvre your boat … / Modular design. Tailored to your boat.</x:v>
      </x:c>
      <x:c r="I52" s="81" t="str">
        <x:v>Zwei sichtbare Kernstrings benötigen eine knappe, native und semantisch vollständige Form.</x:v>
      </x:c>
      <x:c r="J52" s="81" t="str">
        <x:v>home.hero.subtitle; home.modules.title</x:v>
      </x:c>
    </x:row>
    <x:row r="53" ht="21.600000381469727" hidden="0" customHeight="1">
      <x:c r="A53" s="81" t="str">
        <x:v>Englisch (en)</x:v>
      </x:c>
      <x:c r="B53" s="81" t="str">
        <x:v>P06 Funktionen</x:v>
      </x:c>
      <x:c r="C53" s="81" t="str">
        <x:v>… zentral und übersichtlich direkt über die App-Oberfläche.</x:v>
      </x:c>
      <x:c r="D53" s="81" t="str">
        <x:v>Operate … centrally and clearly directly via the app interface.</x:v>
      </x:c>
      <x:c r="E53" s="81" t="str">
        <x:v>Mittel</x:v>
      </x:c>
      <x:c r="F53" s="81" t="str">
        <x:v>Natürlichkeit / MT-Smell</x:v>
      </x:c>
      <x:c r="G53" s="81" t="str">
        <x:v>„centrally and clearly directly“ ist grammatisch möglich, aber deutlich unidiomatisch und quellnah.</x:v>
      </x:c>
      <x:c r="H53" s="81" t="str">
        <x:v>Control the anchor windlass, signal horn and other connected systems from one clear app interface.</x:v>
      </x:c>
      <x:c r="I53" s="81" t="str">
        <x:v>Die Aussage bleibt vollständig, klingt aber wie originäres technisches Englisch.</x:v>
      </x:c>
      <x:c r="J53" s="81" t="str">
        <x:v>functions.app.accessories.description</x:v>
      </x:c>
    </x:row>
    <x:row r="54" ht="21.600000381469727" hidden="0" customHeight="1">
      <x:c r="A54" s="81" t="str">
        <x:v>Französisch (fr-FR)</x:v>
      </x:c>
      <x:c r="B54" s="81" t="str">
        <x:v>P01 Homepage – Kerntexte</x:v>
      </x:c>
      <x:c r="C54" s="81" t="str">
        <x:v>Die Crew in deiner Hand / übrige Websiteansprache</x:v>
      </x:c>
      <x:c r="D54" s="81" t="str">
        <x:v>L'équipage dans la paume de ta main / vous-votre im übrigen Abschnitt</x:v>
      </x:c>
      <x:c r="E54" s="81" t="str">
        <x:v>Mittel</x:v>
      </x:c>
      <x:c r="F54" s="81" t="str">
        <x:v>Konsistenz / Ansprache</x:v>
      </x:c>
      <x:c r="G54" s="81" t="str">
        <x:v>Die Headline wechselt isoliert zu „tu/ta“, während derselbe Seitenbereich überwiegend „vous/votre“ verwendet.</x:v>
      </x:c>
      <x:c r="H54" s="81" t="str">
        <x:v>L’équipage au creux de votre main</x:v>
      </x:c>
      <x:c r="I54" s="81" t="str">
        <x:v>Die französische B2B-Website sollte innerhalb einer Oberfläche nicht unbegründet zwischen Registern wechseln.</x:v>
      </x:c>
      <x:c r="J54" s="81" t="str">
        <x:v>home.intro.title · Zeile 135</x:v>
      </x:c>
    </x:row>
    <x:row r="55" ht="21.600000381469727" hidden="0" customHeight="1">
      <x:c r="A55" s="81" t="str">
        <x:v>Französisch (fr-FR)</x:v>
      </x:c>
      <x:c r="B55" s="81" t="str">
        <x:v>P06 Funktionen</x:v>
      </x:c>
      <x:c r="C55" s="81" t="str">
        <x:v>Bug- und Heckstrahlruder</x:v>
      </x:c>
      <x:c r="D55" s="81" t="str">
        <x:v>hélices d'étrave et de poupe</x:v>
      </x:c>
      <x:c r="E55" s="81" t="str">
        <x:v>Mittel</x:v>
      </x:c>
      <x:c r="F55" s="81" t="str">
        <x:v>Technische Terminologie / Konsistenz</x:v>
      </x:c>
      <x:c r="G55" s="81" t="str">
        <x:v>Die Zielversion wechselt vom freigegebenen „propulseur“ zu „hélice“ und verliert die websiteweite Terminkonsistenz.</x:v>
      </x:c>
      <x:c r="H55" s="81" t="str">
        <x:v>propulseurs d’étrave et de poupe</x:v>
      </x:c>
      <x:c r="I55" s="81" t="str">
        <x:v>Ein technischer B2B-Text sollte dasselbe Thruster-Konzept konsistent benennen.</x:v>
      </x:c>
      <x:c r="J55" s="81" t="str">
        <x:v>functions.app.thruster.description</x:v>
      </x:c>
    </x:row>
    <x:row r="56" ht="32.400001525878906" hidden="0" customHeight="1">
      <x:c r="A56" s="81" t="str">
        <x:v>Niederländisch (nl-NL)</x:v>
      </x:c>
      <x:c r="B56" s="81" t="str">
        <x:v>P10 Universelle Installationsanleitung (URL im Paket nicht angegeben)</x:v>
      </x:c>
      <x:c r="C56" s="81" t="str">
        <x:v>Wenn dein Boot mit Bug- und Heckstrahlruder ausgestattet ist, stelle sicher, dass die Heck- und Bugsteuerungen jeweils korrekt verbunden sind.</x:v>
      </x:c>
      <x:c r="D56" s="81" t="str">
        <x:v>Als je boot is uitgerust met een boeg- en hekschroef, controleer dan of de bediening van de boeg en het achterschip correct is aangesloten.</x:v>
      </x:c>
      <x:c r="E56" s="81" t="str">
        <x:v>Mittel</x:v>
      </x:c>
      <x:c r="F56" s="81" t="str">
        <x:v>Inhaltliche Genauigkeit / Terminologie</x:v>
      </x:c>
      <x:c r="G56" s="81" t="str">
        <x:v>„het achterschip“ bezeichnet das Achterschiff, nicht die Bedienung des Heckstrahlruders. Dadurch wird die technische Referenz unscharf.</x:v>
      </x:c>
      <x:c r="H56" s="81" t="str">
        <x:v>Als je boot is uitgerust met een boeg- en hekschroef, controleer dan of de bediening van de boeg- en hekschroef correct is aangesloten.</x:v>
      </x:c>
      <x:c r="I56" s="81" t="str">
        <x:v>In einer Installationswarnung muss eindeutig bleiben, dass die Steuerungen beider Strahlruder gemeint sind.</x:v>
      </x:c>
      <x:c r="J56" s="81" t="str">
        <x:v>P10/NL · Warnhinweis Schritt 4 · Zeile 612</x:v>
      </x:c>
    </x:row>
    <x:row r="57" ht="108" hidden="0" customHeight="1">
      <x:c r="A57" s="81" t="str">
        <x:v>Niederländisch (nl-NL)</x:v>
      </x:c>
      <x:c r="B57" s="81" t="str">
        <x:v>P16 Konfigurator + P25 Impressum</x:v>
      </x:c>
      <x:c r="C57" s="81" t="str">
        <x:v>Alle genannten Marken, Produktnamen und Logos (einschließlich, aber nicht beschränkt auf Volvo Penta, MerCruiser, Mercury, Yamaha, EPT, Quick, Sleipner, Vetus, Lewmar und Max Power) sind eingetragene Marken oder Marken der jeweiligen Rechteinhaber. Zwischen der Thitronik GmbH und den jeweiligen Markeninhabern bestehen keine geschäftlichen Verbindungen, Partnerschaften oder Autorisierungen, sofern nicht ausdrücklich anders angegeben. Die Nennung der Markennamen erfolgt ausschließlich zur Beschreibung der technischen Kompatibilität der SMARTDOCK/THITRONIK® Produkte.</x:v>
      </x:c>
      <x:c r="D57" s="81" t="str">
        <x:v>Alle genoemde merken, productnamen en logo's (waaronder, maar niet beperkt tot, Volvo Penta, MerCruiser, Mercury, Yamaha, EPT, Quick, Sleipner, Vetus, Lewmar en Max Power) zijn geregistreerde merken of merken van de betreffende rechthebbenden. Tussen Thitronik GmbH en de betreffende merkhouders bestaan geen zakelijke relaties, partnerschappen of autorisaties, tenzij uitdrukkelijk anders vermeld. De merknamen worden uitsluitend genoemd om de technische compatibiliteit van SMARTDOCK/THITRONIK®-producten te beschrijven.</x:v>
      </x:c>
      <x:c r="E57" s="81" t="str">
        <x:v>Mittel</x:v>
      </x:c>
      <x:c r="F57" s="81" t="str">
        <x:v>Konsistenz</x:v>
      </x:c>
      <x:c r="G57" s="81" t="str">
        <x:v>Der identische deutsche Markenhinweis ist an zwei Stellen unterschiedlich übersetzt.</x:v>
      </x:c>
      <x:c r="H57" s="81" t="str">
        <x:v>Alle genoemde merken, productnamen en logo's (waaronder, maar niet beperkt tot, Volvo Penta, MerCruiser, Mercury, Yamaha, EPT, Quick, Sleipner, Vetus, Lewmar en Max Power) zijn geregistreerde merken of merken van hun respectieve rechthebbenden. Tenzij uitdrukkelijk anders vermeld, bestaan er geen zakelijke relaties, partnerschappen of autorisaties tussen Thitronik GmbH en de betreffende merkhouders. De merknamen worden uitsluitend genoemd om de technische compatibiliteit van de SMARTDOCK/THITRONIK®-producten te beschrijven.</x:v>
      </x:c>
      <x:c r="I57" s="81" t="str">
        <x:v>Beide Varianten sind inhaltlich weitgehend korrekt; bei einem identischen rechtlich relevanten Quellstring sollte jedoch pro Locale exakt dieselbe freigegebene Fassung wiederverwendet werden.</x:v>
      </x:c>
      <x:c r="J57" s="81" t="str">
        <x:v>configurator.trademark_disclaimer ↔ imprint.disclaimer.trademarks · Zeile 1685</x:v>
      </x:c>
    </x:row>
    <x:row r="58" ht="108" hidden="0" customHeight="1">
      <x:c r="A58" s="81" t="str">
        <x:v>Norwegisch Bokmål (nb-NO)</x:v>
      </x:c>
      <x:c r="B58" s="81" t="str">
        <x:v>P16 Konfigurator + P25 Impressum</x:v>
      </x:c>
      <x:c r="C58" s="81" t="str">
        <x:v>Alle genannten Marken, Produktnamen und Logos (einschließlich, aber nicht beschränkt auf Volvo Penta, MerCruiser, Mercury, Yamaha, EPT, Quick, Sleipner, Vetus, Lewmar und Max Power) sind eingetragene Marken oder Marken der jeweiligen Rechteinhaber. Zwischen der Thitronik GmbH und den jeweiligen Markeninhabern bestehen keine geschäftlichen Verbindungen, Partnerschaften oder Autorisierungen, sofern nicht ausdrücklich anders angegeben. Die Nennung der Markennamen erfolgt ausschließlich zur Beschreibung der technischen Kompatibilität der SMARTDOCK/THITRONIK® Produkte.</x:v>
      </x:c>
      <x:c r="D58" s="81" t="str">
        <x:v>Alle nevnte varemerker, produktnavn og logoer (inkludert, men ikke begrenset til, Volvo Penta, MerCruiser, Mercury, Yamaha, EPT, Quick, Sleipner, Vetus, Lewmar og Max Power) er registrerte varemerker eller varemerker som tilhører de respektive rettighetshaverne. Det finnes ingen forretningsforbindelser, partnerskap eller autorisasjoner mellom Thitronik GmbH og de respektive varemerkeeierne, med mindre annet uttrykkelig er angitt. Varemerkene nevnes utelukkende for å beskrive den tekniske kompatibiliteten til SMARTDOCK/THITRONIK®-produktene.</x:v>
      </x:c>
      <x:c r="E58" s="81" t="str">
        <x:v>Mittel</x:v>
      </x:c>
      <x:c r="F58" s="81" t="str">
        <x:v>Konsistenz</x:v>
      </x:c>
      <x:c r="G58" s="81" t="str">
        <x:v>Der identische deutsche Markenhinweis ist an zwei Stellen unterschiedlich übersetzt.</x:v>
      </x:c>
      <x:c r="H58" s="81" t="str">
        <x:v>Alle nevnte varemerker, produktnavn og logoer (inkludert, men ikke begrenset til, Volvo Penta, MerCruiser, Mercury, Yamaha, EPT, Quick, Sleipner, Vetus, Lewmar og Max Power) er registrerte varemerker eller varemerker som tilhører de respektive rettighetshaverne. Med mindre annet er uttrykkelig angitt, finnes det ingen forretningsforbindelser, partnerskap eller autorisasjoner mellom Thitronik GmbH og de respektive varemerkeinnehaverne. Varemerkenavnene nevnes utelukkende for å beskrive den tekniske kompatibiliteten til SMARTDOCK/THITRONIK®-produktene.</x:v>
      </x:c>
      <x:c r="I58" s="81" t="str">
        <x:v>Beide Varianten sind inhaltlich weitgehend korrekt; bei einem identischen rechtlich relevanten Quellstring sollte jedoch pro Locale exakt dieselbe freigegebene Fassung wiederverwendet werden.</x:v>
      </x:c>
      <x:c r="J58" s="81" t="str">
        <x:v>configurator.trademark_disclaimer ↔ imprint.disclaimer.trademarks · Zeile 1685</x:v>
      </x:c>
    </x:row>
    <x:row r="59" ht="32.400001525878906" hidden="0" customHeight="1">
      <x:c r="A59" s="81" t="str">
        <x:v>Norwegisch Bokmål (nb-NO)</x:v>
      </x:c>
      <x:c r="B59" s="81" t="str">
        <x:v>P05 Produkt – Technik &amp; Conversion (URL im Paket nicht angegeben)</x:v>
      </x:c>
      <x:c r="C59" s="81" t="str">
        <x:v>Die Steuerinformationen aus der App werden in Signale für die Strahlruder umgewandelt, so dass eine gezielte Bedienung in die gewünschte Richtung möglich ist.</x:v>
      </x:c>
      <x:c r="D59" s="81" t="str">
        <x:v>Styrekommandoene fra appen omformes til signaler for thrusterne, slik at de kan betjenes målrettet i ønsket retning.</x:v>
      </x:c>
      <x:c r="E59" s="81" t="str">
        <x:v>Mittel</x:v>
      </x:c>
      <x:c r="F59" s="81" t="str">
        <x:v>Natürlichkeit / technische Sprache</x:v>
      </x:c>
      <x:c r="G59" s="81" t="str">
        <x:v>Die Kombination aus „målrettet/riktat“ und „i den ønskede/önskad(e) retning“ wirkt tautologisch bzw. wie eine direkte Übersetzung.</x:v>
      </x:c>
      <x:c r="H59" s="81" t="str">
        <x:v>Styrekommandoene fra appen omformes til signaler for thrusterne, slik at de kan styres presist i ønsket retning.</x:v>
      </x:c>
      <x:c r="I59" s="81" t="str">
        <x:v>„präzise steuern“ ist im technischen Produktkontext natürlicher, ohne die Aussage zu verändern.</x:v>
      </x:c>
      <x:c r="J59" s="81" t="str">
        <x:v>product.tcu.description_2 · Zeile 277</x:v>
      </x:c>
    </x:row>
    <x:row r="60" ht="43.20000076293945" hidden="0" customHeight="1">
      <x:c r="A60" s="81" t="str">
        <x:v>Norwegisch Bokmål (nb-NO)</x:v>
      </x:c>
      <x:c r="B60" s="81" t="str">
        <x:v>P21 Barrierefreiheit (URL im Paket nicht angegeben)</x:v>
      </x:c>
      <x:c r="C60" s="81" t="str">
        <x:v>Die Thitronik GmbH ist bemüht, ihre Website im Einklang mit dem Barrierefreiheitsstärkungsgesetz (BFSG) sowie der Barrierefreiheitsstärkungsverordnung (BFSGV) barrierefrei zugänglich zu machen.</x:v>
      </x:c>
      <x:c r="D60" s="81" t="str">
        <x:v>Thitronik GmbH arbeider for å gjøre nettstedet sitt tilgjengelig i samsvar med den tyske Barrierefreiheitsstärkungsgesetz (BFSG) og Barrierefreiheitsstärkungsverordnung (BFSGV).</x:v>
      </x:c>
      <x:c r="E60" s="81" t="str">
        <x:v>Mittel</x:v>
      </x:c>
      <x:c r="F60" s="81" t="str">
        <x:v>Grammatik / Natürlichkeit</x:v>
      </x:c>
      <x:c r="G60" s="81" t="str">
        <x:v>Der deutsche Gesetzestitel wird direkt an ein zielsprachliches Adjektiv angeschlossen („den tyske/tyska …Gesetz“); das klingt grammatisch bzw. idiomatisch nicht nativ.</x:v>
      </x:c>
      <x:c r="H60" s="81" t="str">
        <x:v>Thitronik GmbH arbeider for å gjøre nettstedet sitt tilgjengelig i samsvar med den tyske loven Barrierefreiheitsstärkungsgesetz (BFSG) og forskriften Barrierefreiheitsstärkungsverordnung (BFSGV).</x:v>
      </x:c>
      <x:c r="I60" s="81" t="str">
        <x:v>Die offiziellen deutschen Eigennamen können erhalten bleiben, sollten aber mit dem zielsprachlichen Gattungswort „Gesetz/lov/lag“ bzw. „Verordnung/forskrift/förordning“ eingeführt werden.</x:v>
      </x:c>
      <x:c r="J60" s="81" t="str">
        <x:v>accessibility.introduction.legal_basis · Zeile 1396</x:v>
      </x:c>
    </x:row>
    <x:row r="61" ht="21.600000381469727" hidden="0" customHeight="1">
      <x:c r="A61" s="81" t="str">
        <x:v>Schwedisch (sv-SE)</x:v>
      </x:c>
      <x:c r="B61" s="81" t="str">
        <x:v>P16 Konfigurator – Zusammenfassung (URL im Paket nicht angegeben)</x:v>
      </x:c>
      <x:c r="C61" s="81" t="str">
        <x:v>Paketrabatt</x:v>
      </x:c>
      <x:c r="D61" s="81" t="str">
        <x:v>Paketprisavdrag</x:v>
      </x:c>
      <x:c r="E61" s="81" t="str">
        <x:v>Mittel</x:v>
      </x:c>
      <x:c r="F61" s="81" t="str">
        <x:v>Terminologie / Natürlichkeit</x:v>
      </x:c>
      <x:c r="G61" s="81" t="str">
        <x:v>„Paketprisavdrag“ ist unnötig konstruiert und wirkt nicht wie die übliche schwedische UI-/Commerce-Terminologie.</x:v>
      </x:c>
      <x:c r="H61" s="81" t="str">
        <x:v>Paketrabatt</x:v>
      </x:c>
      <x:c r="I61" s="81" t="str">
        <x:v>„Paketrabatt“ ist die direkte, etablierte und kürzere Entsprechung und passt außerdem zur Terminologie der Nachbarsprachen.</x:v>
      </x:c>
      <x:c r="J61" s="81" t="str">
        <x:v>configurator.summary.bundle_discount · Zeile 1189</x:v>
      </x:c>
    </x:row>
    <x:row r="62" ht="108" hidden="0" customHeight="1">
      <x:c r="A62" s="81" t="str">
        <x:v>Schwedisch (sv-SE)</x:v>
      </x:c>
      <x:c r="B62" s="81" t="str">
        <x:v>P16 Konfigurator + P25 Impressum</x:v>
      </x:c>
      <x:c r="C62" s="81" t="str">
        <x:v>Alle genannten Marken, Produktnamen und Logos (einschließlich, aber nicht beschränkt auf Volvo Penta, MerCruiser, Mercury, Yamaha, EPT, Quick, Sleipner, Vetus, Lewmar und Max Power) sind eingetragene Marken oder Marken der jeweiligen Rechteinhaber. Zwischen der Thitronik GmbH und den jeweiligen Markeninhabern bestehen keine geschäftlichen Verbindungen, Partnerschaften oder Autorisierungen, sofern nicht ausdrücklich anders angegeben. Die Nennung der Markennamen erfolgt ausschließlich zur Beschreibung der technischen Kompatibilität der SMARTDOCK/THITRONIK® Produkte.</x:v>
      </x:c>
      <x:c r="D62" s="81" t="str">
        <x:v>Alla nämnda varumärken, produktnamn och logotyper (inklusive, men inte begränsat till, Volvo Penta, MerCruiser, Mercury, Yamaha, EPT, Quick, Sleipner, Vetus, Lewmar och Max Power) är registrerade varumärken eller varumärken som tillhör respektive rättighetsinnehavare. Det finns inga affärsförbindelser, partnerskap eller auktorisationer mellan Thitronik GmbH och respektive varumärkesinnehavare, om inget annat uttryckligen anges. Varumärkena nämns uteslutande för att beskriva den tekniska kompatibiliteten hos SMARTDOCK/THITRONIK®-produkterna.</x:v>
      </x:c>
      <x:c r="E62" s="81" t="str">
        <x:v>Mittel</x:v>
      </x:c>
      <x:c r="F62" s="81" t="str">
        <x:v>Konsistenz</x:v>
      </x:c>
      <x:c r="G62" s="81" t="str">
        <x:v>Der identische deutsche Markenhinweis ist an zwei Stellen unterschiedlich übersetzt.</x:v>
      </x:c>
      <x:c r="H62" s="81" t="str">
        <x:v>Alla nämnda varumärken, produktnamn och logotyper (inklusive, men inte begränsat till, Volvo Penta, MerCruiser, Mercury, Yamaha, EPT, Quick, Sleipner, Vetus, Lewmar och Max Power) är registrerade varumärken eller varumärken som tillhör respektive rättighetsinnehavare. Om inget annat uttryckligen anges finns inga affärsförbindelser, partnerskap eller auktorisationer mellan Thitronik GmbH och respektive varumärkesinnehavare. Varumärkesnamnen nämns uteslutande för att beskriva SMARTDOCK/THITRONIK®-produkternas tekniska kompatibilitet.</x:v>
      </x:c>
      <x:c r="I62" s="81" t="str">
        <x:v>Beide Varianten sind inhaltlich weitgehend korrekt; bei einem identischen rechtlich relevanten Quellstring sollte jedoch pro Locale exakt dieselbe freigegebene Fassung wiederverwendet werden.</x:v>
      </x:c>
      <x:c r="J62" s="81" t="str">
        <x:v>configurator.trademark_disclaimer ↔ imprint.disclaimer.trademarks · Zeile 1685</x:v>
      </x:c>
    </x:row>
    <x:row r="63" ht="32.400001525878906" hidden="0" customHeight="1">
      <x:c r="A63" s="81" t="str">
        <x:v>Schwedisch (sv-SE)</x:v>
      </x:c>
      <x:c r="B63" s="81" t="str">
        <x:v>P05 Produkt – Technik &amp; Conversion (URL im Paket nicht angegeben)</x:v>
      </x:c>
      <x:c r="C63" s="81" t="str">
        <x:v>Die Steuerinformationen aus der App werden in Signale für die Strahlruder umgewandelt, so dass eine gezielte Bedienung in die gewünschte Richtung möglich ist.</x:v>
      </x:c>
      <x:c r="D63" s="81" t="str">
        <x:v>Styrkommandona från appen omvandlas till signaler för manöverpropellrarna, så att de kan manövreras riktat i önskad riktning.</x:v>
      </x:c>
      <x:c r="E63" s="81" t="str">
        <x:v>Mittel</x:v>
      </x:c>
      <x:c r="F63" s="81" t="str">
        <x:v>Natürlichkeit / technische Sprache</x:v>
      </x:c>
      <x:c r="G63" s="81" t="str">
        <x:v>Die Kombination aus „målrettet/riktat“ und „i den ønskede/önskad(e) retning“ wirkt tautologisch bzw. wie eine direkte Übersetzung.</x:v>
      </x:c>
      <x:c r="H63" s="81" t="str">
        <x:v>Styrkommandona från appen omvandlas till signaler för manöverpropellrarna, så att de kan styras precist i önskad riktning.</x:v>
      </x:c>
      <x:c r="I63" s="81" t="str">
        <x:v>„präzise steuern“ ist im technischen Produktkontext natürlicher, ohne die Aussage zu verändern.</x:v>
      </x:c>
      <x:c r="J63" s="81" t="str">
        <x:v>product.tcu.description_2 · Zeile 277</x:v>
      </x:c>
    </x:row>
    <x:row r="64" ht="43.20000076293945" hidden="0" customHeight="1">
      <x:c r="A64" s="81" t="str">
        <x:v>Schwedisch (sv-SE)</x:v>
      </x:c>
      <x:c r="B64" s="81" t="str">
        <x:v>P21 Barrierefreiheit (URL im Paket nicht angegeben)</x:v>
      </x:c>
      <x:c r="C64" s="81" t="str">
        <x:v>Die Thitronik GmbH ist bemüht, ihre Website im Einklang mit dem Barrierefreiheitsstärkungsgesetz (BFSG) sowie der Barrierefreiheitsstärkungsverordnung (BFSGV) barrierefrei zugänglich zu machen.</x:v>
      </x:c>
      <x:c r="D64" s="81" t="str">
        <x:v>Thitronik GmbH strävar efter att göra sin webbplats tillgänglig i enlighet med den tyska Barrierefreiheitsstärkungsgesetz (BFSG) och Barrierefreiheitsstärkungsverordnung (BFSGV).</x:v>
      </x:c>
      <x:c r="E64" s="81" t="str">
        <x:v>Mittel</x:v>
      </x:c>
      <x:c r="F64" s="81" t="str">
        <x:v>Grammatik / Natürlichkeit</x:v>
      </x:c>
      <x:c r="G64" s="81" t="str">
        <x:v>Der deutsche Gesetzestitel wird direkt an ein zielsprachliches Adjektiv angeschlossen („den tyske/tyska …Gesetz“); das klingt grammatisch bzw. idiomatisch nicht nativ.</x:v>
      </x:c>
      <x:c r="H64" s="81" t="str">
        <x:v>Thitronik GmbH strävar efter att göra sin webbplats tillgänglig i enlighet med den tyska lagen Barrierefreiheitsstärkungsgesetz (BFSG) och förordningen Barrierefreiheitsstärkungsverordnung (BFSGV).</x:v>
      </x:c>
      <x:c r="I64" s="81" t="str">
        <x:v>Die offiziellen deutschen Eigennamen können erhalten bleiben, sollten aber mit dem zielsprachlichen Gattungswort „Gesetz/lov/lag“ bzw. „Verordnung/forskrift/förordning“ eingeführt werden.</x:v>
      </x:c>
      <x:c r="J64" s="81" t="str">
        <x:v>accessibility.introduction.legal_basis · Zeile 1396</x:v>
      </x:c>
    </x:row>
    <x:row r="65" ht="21.600000381469727" hidden="0" customHeight="1">
      <x:c r="A65" s="81" t="str">
        <x:v>Spanisch (es-ES)</x:v>
      </x:c>
      <x:c r="B65" s="81" t="str">
        <x:v>P16 Konfigurator – Auswahl (URL im Paket nicht angegeben)</x:v>
      </x:c>
      <x:c r="C65" s="81" t="str">
        <x:v>Weitere auf Anfrage</x:v>
      </x:c>
      <x:c r="D65" s="81" t="str">
        <x:v>Otros bajo consulta</x:v>
      </x:c>
      <x:c r="E65" s="81" t="str">
        <x:v>Mittel</x:v>
      </x:c>
      <x:c r="F65" s="81" t="str">
        <x:v>Natürlichkeit / CTA- &amp; UI-Sprache</x:v>
      </x:c>
      <x:c r="G65" s="81" t="str">
        <x:v>„Otros bajo consulta“ ist verständlich, klingt im spanischen B2B-/Konfigurator-Kontext jedoch wörtlich und wenig idiomatisch.</x:v>
      </x:c>
      <x:c r="H65" s="81" t="str">
        <x:v>Otros, previa consulta</x:v>
      </x:c>
      <x:c r="I65" s="81" t="str">
        <x:v>Für kurze Auswahloptionen ist „previa consulta“ die natürlichere kommerzielle Formulierung.</x:v>
      </x:c>
      <x:c r="J65" s="81" t="str">
        <x:v>configurator.thruster_manufacturer.other · Zeile 1173</x:v>
      </x:c>
    </x:row>
    <x:row r="66" ht="21.600000381469727" hidden="0" customHeight="1">
      <x:c r="A66" s="81" t="str">
        <x:v>Spanisch (es-ES)</x:v>
      </x:c>
      <x:c r="B66" s="81" t="str">
        <x:v>P20 Konfigurator – zusammengesetzte Werte (URL im Paket nicht angegeben)</x:v>
      </x:c>
      <x:c r="C66" s="81" t="str">
        <x:v>Weitere auf Anfrage</x:v>
      </x:c>
      <x:c r="D66" s="81" t="str">
        <x:v>Otros bajo consulta</x:v>
      </x:c>
      <x:c r="E66" s="81" t="str">
        <x:v>Mittel</x:v>
      </x:c>
      <x:c r="F66" s="81" t="str">
        <x:v>Natürlichkeit / CTA- &amp; UI-Sprache</x:v>
      </x:c>
      <x:c r="G66" s="81" t="str">
        <x:v>„Otros bajo consulta“ ist verständlich, klingt im spanischen B2B-/Konfigurator-Kontext jedoch wörtlich und wenig idiomatisch.</x:v>
      </x:c>
      <x:c r="H66" s="81" t="str">
        <x:v>Otros disponibles previa consulta</x:v>
      </x:c>
      <x:c r="I66" s="81" t="str">
        <x:v>Für kurze Auswahloptionen ist „previa consulta“ die natürlichere kommerzielle Formulierung.</x:v>
      </x:c>
      <x:c r="J66" s="81" t="str">
        <x:v>configurator.value.other_on_request · Zeile 1371</x:v>
      </x:c>
    </x:row>
    <x:row r="67" ht="108" hidden="0" customHeight="1">
      <x:c r="A67" s="81" t="str">
        <x:v>Spanisch (es-ES)</x:v>
      </x:c>
      <x:c r="B67" s="81" t="str">
        <x:v>P16 Konfigurator + P25 Impressum</x:v>
      </x:c>
      <x:c r="C67" s="81" t="str">
        <x:v>Alle genannten Marken, Produktnamen und Logos (einschließlich, aber nicht beschränkt auf Volvo Penta, MerCruiser, Mercury, Yamaha, EPT, Quick, Sleipner, Vetus, Lewmar und Max Power) sind eingetragene Marken oder Marken der jeweiligen Rechteinhaber. Zwischen der Thitronik GmbH und den jeweiligen Markeninhabern bestehen keine geschäftlichen Verbindungen, Partnerschaften oder Autorisierungen, sofern nicht ausdrücklich anders angegeben. Die Nennung der Markennamen erfolgt ausschließlich zur Beschreibung der technischen Kompatibilität der SMARTDOCK/THITRONIK® Produkte.</x:v>
      </x:c>
      <x:c r="D67" s="81" t="str">
        <x:v>Todas las marcas, nombres de productos y logotipos mencionados (incluidos, entre otros, Volvo Penta, MerCruiser, Mercury, Yamaha, EPT, Quick, Sleipner, Vetus, Lewmar y Max Power) son marcas registradas o marcas de sus respectivos titulares. Salvo indicación expresa en contrario, no existen relaciones comerciales, asociaciones ni autorizaciones entre Thitronik GmbH y los titulares de las marcas correspondientes. Las marcas se mencionan exclusivamente para describir la compatibilidad técnica de los productos SMARTDOCK/THITRONIK®.</x:v>
      </x:c>
      <x:c r="E67" s="81" t="str">
        <x:v>Mittel</x:v>
      </x:c>
      <x:c r="F67" s="81" t="str">
        <x:v>Konsistenz</x:v>
      </x:c>
      <x:c r="G67" s="81" t="str">
        <x:v>Der identische deutsche Markenhinweis ist an zwei Stellen unterschiedlich übersetzt.</x:v>
      </x:c>
      <x:c r="H67" s="81" t="str">
        <x:v>Todas las marcas, nombres de productos y logotipos mencionados (incluidos, entre otros, Volvo Penta, MerCruiser, Mercury, Yamaha, EPT, Quick, Sleipner, Vetus, Lewmar y Max Power) son marcas registradas o marcas de sus respectivos titulares. Salvo indicación expresa en contrario, no existe ninguna relación comercial, asociación ni autorización entre Thitronik GmbH y los respectivos titulares de las marcas. Las marcas se mencionan exclusivamente para describir la compatibilidad técnica de los productos SMARTDOCK/THITRONIK®.</x:v>
      </x:c>
      <x:c r="I67" s="81" t="str">
        <x:v>Beide Varianten sind inhaltlich weitgehend korrekt; bei einem identischen rechtlich relevanten Quellstring sollte jedoch pro Locale exakt dieselbe freigegebene Fassung wiederverwendet werden.</x:v>
      </x:c>
      <x:c r="J67" s="81" t="str">
        <x:v>configurator.trademark_disclaimer ↔ imprint.disclaimer.trademarks · Zeile 1685</x:v>
      </x:c>
    </x:row>
    <x:row r="68" ht="32.400001525878906" hidden="0" customHeight="1">
      <x:c r="A68" s="81" t="str">
        <x:v>Spanisch (es-ES)</x:v>
      </x:c>
      <x:c r="B68" s="81" t="str">
        <x:v>P12 FAQ 08 – Nachrüstung (URL im Paket nicht angegeben)</x:v>
      </x:c>
      <x:c r="C68" s="81" t="str">
        <x:v>Kann SMARTDOCK nachgerüstet werden? / Ja, unsere SMARTDOCK-Produkte wurden speziell für die Nachrüstung entwickelt.</x:v>
      </x:c>
      <x:c r="D68" s="81" t="str">
        <x:v>¿Se puede instalar SMARTDOCK como reequipamiento? / Sí, nuestros productos SMARTDOCK se han desarrollado específicamente para su instalación como reequipamiento.</x:v>
      </x:c>
      <x:c r="E68" s="81" t="str">
        <x:v>Mittel</x:v>
      </x:c>
      <x:c r="F68" s="81" t="str">
        <x:v>Natürlichkeit</x:v>
      </x:c>
      <x:c r="G68" s="81" t="str">
        <x:v>„instalar … como reequipamiento“ ist semantisch verständlich, wirkt aber wiederholt und deutlich quellsprachennah.</x:v>
      </x:c>
      <x:c r="H68" s="81" t="str">
        <x:v>¿Es posible reequipar una embarcación con SMARTDOCK? / Sí, nuestros productos SMARTDOCK se han desarrollado específicamente para el reequipamiento.</x:v>
      </x:c>
      <x:c r="I68" s="81" t="str">
        <x:v>Die vorgeschlagene Fassung bewahrt die Aussage, klingt aber in technischem Spanisch idiomatischer und weniger übersetzt.</x:v>
      </x:c>
      <x:c r="J68" s="81" t="str">
        <x:v>FAQ 08 / ES · Zeile 905</x:v>
      </x:c>
    </x:row>
    <x:row r="69" ht="21.600000381469727" hidden="0" customHeight="1">
      <x:c r="A69" s="82" t="str">
        <x:v>Dänisch (da-DK)</x:v>
      </x:c>
      <x:c r="B69" s="82" t="str">
        <x:v>P26A Datenschutz – Cookies (URL im Paket nicht angegeben)</x:v>
      </x:c>
      <x:c r="C69" s="82" t="str">
        <x:v>… im Footer auf „Cookie-Einstellungen“ klicken.</x:v>
      </x:c>
      <x:c r="D69" s="82" t="str">
        <x:v>nhver tid trække dit samtykke tilbage ved at klikke på „Cookieindstillinger“ i sidefoden. Derved fjer</x:v>
      </x:c>
      <x:c r="E69" s="82" t="str">
        <x:v>Niedrig</x:v>
      </x:c>
      <x:c r="F69" s="82" t="str">
        <x:v>Zeichensetzung / Lokalisierung</x:v>
      </x:c>
      <x:c r="G69" s="82" t="str">
        <x:v>Die deutschen Anführungszeichen „…“ wurden in der Zielversion übernommen.</x:v>
      </x:c>
      <x:c r="H69" s="82" t="str">
        <x:v>… ved at klikke på »Cookieindstillinger« i sidefoden.</x:v>
      </x:c>
      <x:c r="I69" s="82" t="str">
        <x:v>In UI- und Rechtstexten sollten typografische Anführungszeichen dem jeweiligen Locale-Styleguide folgen. Inhaltlich besteht kein Fehler.</x:v>
      </x:c>
      <x:c r="J69" s="82" t="str">
        <x:v>privacy.cookies.withdrawal · Zeile 1742</x:v>
      </x:c>
    </x:row>
    <x:row r="70" ht="32.400001525878906" hidden="0" customHeight="1">
      <x:c r="A70" s="82" t="str">
        <x:v>Dänisch (da-DK)</x:v>
      </x:c>
      <x:c r="B70" s="82" t="str">
        <x:v>P27 SEO/Accessibility – Bild-Alttext (URL im Paket nicht angegeben)</x:v>
      </x:c>
      <x:c r="C70" s="82" t="str">
        <x:v>Artikel im float Magazin: Praxistest „Mit dem Handy in den Hafen steuern“</x:v>
      </x:c>
      <x:c r="D70" s="82" t="str">
        <x:v>Artikel i float Magazin: praktisk test „Styr ind i havnen med mobilen“</x:v>
      </x:c>
      <x:c r="E70" s="82" t="str">
        <x:v>Niedrig</x:v>
      </x:c>
      <x:c r="F70" s="82" t="str">
        <x:v>Zeichensetzung / Konsistenz</x:v>
      </x:c>
      <x:c r="G70" s="82" t="str">
        <x:v>Im dänischen Alttext bleiben deutsche Anführungszeichen erhalten, während die anderen Zielsprachen weitgehend lokaltypische Zeichen verwenden.</x:v>
      </x:c>
      <x:c r="H70" s="82" t="str">
        <x:v>Artikel i float Magazin: praktisk test »Styr ind i havnen med mobilen«</x:v>
      </x:c>
      <x:c r="I70" s="82" t="str">
        <x:v>Kleine typografische Lokalisierung; die Bedeutung ist korrekt.</x:v>
      </x:c>
      <x:c r="J70" s="82" t="str">
        <x:v>product.review.image_alt · Zeile 1833</x:v>
      </x:c>
    </x:row>
    <x:row r="71" ht="21.600000381469727" hidden="0" customHeight="1">
      <x:c r="A71" s="82" t="str">
        <x:v>Französisch (fr-FR)</x:v>
      </x:c>
      <x:c r="B71" s="82" t="str">
        <x:v>P02 Homepage – Vorteile &amp; Module</x:v>
      </x:c>
      <x:c r="C71" s="82" t="str">
        <x:v>… mit nur einer Hand …</x:v>
      </x:c>
      <x:c r="D71" s="82" t="str">
        <x:v>… d´une seule main …</x:v>
      </x:c>
      <x:c r="E71" s="82" t="str">
        <x:v>Niedrig</x:v>
      </x:c>
      <x:c r="F71" s="82" t="str">
        <x:v>Zeichensetzung / Typografie</x:v>
      </x:c>
      <x:c r="G71" s="82" t="str">
        <x:v>Es wurde ein Akzentzeichen statt des französischen Apostrophs verwendet.</x:v>
      </x:c>
      <x:c r="H71" s="82" t="str">
        <x:v>… d’une seule main …</x:v>
      </x:c>
      <x:c r="I71" s="82" t="str">
        <x:v>Kleine, aber sichtbare typografische Korrektur ohne Bedeutungsänderung.</x:v>
      </x:c>
      <x:c r="J71" s="82" t="str">
        <x:v>home.advantages.intuitive.description · Zeile 169</x:v>
      </x:c>
    </x:row>
    <x:row r="72" ht="21.600000381469727" hidden="0" customHeight="1">
      <x:c r="A72" s="82" t="str">
        <x:v>Niederländisch (nl-NL)</x:v>
      </x:c>
      <x:c r="B72" s="82" t="str">
        <x:v>P26A Datenschutz – Cookies (URL im Paket nicht angegeben)</x:v>
      </x:c>
      <x:c r="C72" s="82" t="str">
        <x:v>… im Footer auf „Cookie-Einstellungen“ klicken.</x:v>
      </x:c>
      <x:c r="D72" s="82" t="str">
        <x:v>estemming op elk moment intrekken door in de footer op „Cookie-instellingen“ te klikken. Hierdoor wor</x:v>
      </x:c>
      <x:c r="E72" s="82" t="str">
        <x:v>Niedrig</x:v>
      </x:c>
      <x:c r="F72" s="82" t="str">
        <x:v>Zeichensetzung / Lokalisierung</x:v>
      </x:c>
      <x:c r="G72" s="82" t="str">
        <x:v>Die deutschen Anführungszeichen „…“ wurden in der Zielversion übernommen.</x:v>
      </x:c>
      <x:c r="H72" s="82" t="str">
        <x:v>… door in de footer op ‘Cookie-instellingen’ te klikken.</x:v>
      </x:c>
      <x:c r="I72" s="82" t="str">
        <x:v>In UI- und Rechtstexten sollten typografische Anführungszeichen dem jeweiligen Locale-Styleguide folgen. Inhaltlich besteht kein Fehler.</x:v>
      </x:c>
      <x:c r="J72" s="82" t="str">
        <x:v>privacy.cookies.withdrawal · Zeile 1742</x:v>
      </x:c>
    </x:row>
    <x:row r="73" ht="21.600000381469727" hidden="0" customHeight="1">
      <x:c r="A73" s="82" t="str">
        <x:v>Norwegisch Bokmål (nb-NO)</x:v>
      </x:c>
      <x:c r="B73" s="82" t="str">
        <x:v>P26A Datenschutz – Cookies (URL im Paket nicht angegeben)</x:v>
      </x:c>
      <x:c r="C73" s="82" t="str">
        <x:v>… im Footer auf „Cookie-Einstellungen“ klicken.</x:v>
      </x:c>
      <x:c r="D73" s="82" t="str">
        <x:v>når som helst trekke tilbake samtykket ved å klikke på „Innstillinger for informasjonskapsler“ i bunnteksten. Da fjerne</x:v>
      </x:c>
      <x:c r="E73" s="82" t="str">
        <x:v>Niedrig</x:v>
      </x:c>
      <x:c r="F73" s="82" t="str">
        <x:v>Zeichensetzung / Lokalisierung</x:v>
      </x:c>
      <x:c r="G73" s="82" t="str">
        <x:v>Die deutschen Anführungszeichen „…“ wurden in der Zielversion übernommen.</x:v>
      </x:c>
      <x:c r="H73" s="82" t="str">
        <x:v>… ved å klikke på «Innstillinger for informasjonskapsler» i bunnteksten.</x:v>
      </x:c>
      <x:c r="I73" s="82" t="str">
        <x:v>In UI- und Rechtstexten sollten typografische Anführungszeichen dem jeweiligen Locale-Styleguide folgen. Inhaltlich besteht kein Fehler.</x:v>
      </x:c>
      <x:c r="J73" s="82" t="str">
        <x:v>privacy.cookies.withdrawal · Zeile 1742</x:v>
      </x:c>
    </x:row>
    <x:row r="74" ht="21.600000381469727" hidden="0" customHeight="1">
      <x:c r="A74" s="82" t="str">
        <x:v>Schwedisch (sv-SE)</x:v>
      </x:c>
      <x:c r="B74" s="82" t="str">
        <x:v>P26A Datenschutz – Cookies (URL im Paket nicht angegeben)</x:v>
      </x:c>
      <x:c r="C74" s="82" t="str">
        <x:v>… im Footer auf „Cookie-Einstellungen“ klicken.</x:v>
      </x:c>
      <x:c r="D74" s="82" t="str">
        <x:v>som helst återkalla ditt samtycke genom att klicka på „Cookieinställningar“ i sidfoten. Då tas det s</x:v>
      </x:c>
      <x:c r="E74" s="82" t="str">
        <x:v>Niedrig</x:v>
      </x:c>
      <x:c r="F74" s="82" t="str">
        <x:v>Zeichensetzung / Lokalisierung</x:v>
      </x:c>
      <x:c r="G74" s="82" t="str">
        <x:v>Die deutschen Anführungszeichen „…“ wurden in der Zielversion übernommen.</x:v>
      </x:c>
      <x:c r="H74" s="82" t="str">
        <x:v>… genom att klicka på ”Cookieinställningar” i sidfoten.</x:v>
      </x:c>
      <x:c r="I74" s="82" t="str">
        <x:v>In UI- und Rechtstexten sollten typografische Anführungszeichen dem jeweiligen Locale-Styleguide folgen. Inhaltlich besteht kein Fehler.</x:v>
      </x:c>
      <x:c r="J74" s="82" t="str">
        <x:v>privacy.cookies.withdrawal · Zeile 1742</x:v>
      </x:c>
    </x:row>
    <x:row r="75" ht="21.600000381469727" hidden="0" customHeight="1">
      <x:c r="A75" s="82" t="str">
        <x:v>Spanisch (es-ES)</x:v>
      </x:c>
      <x:c r="B75" s="82" t="str">
        <x:v>P26A Datenschutz – Cookies (URL im Paket nicht angegeben)</x:v>
      </x:c>
      <x:c r="C75" s="82" t="str">
        <x:v>… im Footer auf „Cookie-Einstellungen“ klicken.</x:v>
      </x:c>
      <x:c r="D75" s="82" t="str">
        <x:v>u consentimiento en cualquier momento haciendo clic en „Configuración de cookies“ en el pie de página. De</x:v>
      </x:c>
      <x:c r="E75" s="82" t="str">
        <x:v>Niedrig</x:v>
      </x:c>
      <x:c r="F75" s="82" t="str">
        <x:v>Zeichensetzung / Lokalisierung</x:v>
      </x:c>
      <x:c r="G75" s="82" t="str">
        <x:v>Die deutschen Anführungszeichen „…“ wurden in der Zielversion übernommen.</x:v>
      </x:c>
      <x:c r="H75" s="82" t="str">
        <x:v>… haciendo clic en «Configuración de cookies» en el pie de página.</x:v>
      </x:c>
      <x:c r="I75" s="82" t="str">
        <x:v>In UI- und Rechtstexten sollten typografische Anführungszeichen dem jeweiligen Locale-Styleguide folgen. Inhaltlich besteht kein Fehler.</x:v>
      </x:c>
      <x:c r="J75" s="82" t="str">
        <x:v>privacy.cookies.withdrawal · Zeile 1742</x:v>
      </x:c>
    </x:row>
  </x:sheetData>
  <x:conditionalFormatting sqref="A2:J43">
    <x:cfRule type="expression" dxfId="0" priority="1">
      <x:formula>$E2="Kritisch"</x:formula>
    </x:cfRule>
    <x:cfRule type="expression" dxfId="1" priority="2">
      <x:formula>$E2="Hoch"</x:formula>
    </x:cfRule>
    <x:cfRule type="expression" dxfId="2" priority="3">
      <x:formula>$E2="Mittel"</x:formula>
    </x:cfRule>
    <x:cfRule type="expression" dxfId="3" priority="4">
      <x:formula>$E2="Niedrig"</x:formula>
    </x:cfRule>
  </x:conditionalFormatting>
  <x:pageMargins left="0.7" right="0.7" top="0.75" bottom="0.75" header="0.3" footer="0.3"/>
  <x:tableParts count="1">
    <x:tablePart xmlns:r="http://schemas.openxmlformats.org/officeDocument/2006/relationships" r:id="Refcc235912e24a4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3" hidden="0" customWidth="1"/>
    <x:col min="2" max="2" width="10" hidden="0" customWidth="1"/>
    <x:col min="3" max="3" width="36" hidden="0" customWidth="1"/>
    <x:col min="4" max="4" width="15" hidden="0" customWidth="1"/>
    <x:col min="5" max="5" width="13" hidden="0" customWidth="1"/>
    <x:col min="6" max="6" width="12" hidden="0" customWidth="1"/>
    <x:col min="7" max="7" width="13" hidden="0" customWidth="1"/>
    <x:col min="8" max="8" width="13" hidden="0" customWidth="1"/>
    <x:col min="9" max="9" width="13" hidden="0" customWidth="1"/>
    <x:col min="10" max="10" width="58" hidden="0" customWidth="1"/>
  </x:cols>
  <x:sheetData>
    <x:row r="1">
      <x:c r="A1" s="76" t="str">
        <x:v>Zielsprache</x:v>
      </x:c>
      <x:c r="B1" s="77" t="str">
        <x:v>Paket</x:v>
      </x:c>
      <x:c r="C1" s="77" t="str">
        <x:v>Seite</x:v>
      </x:c>
      <x:c r="D1" s="77" t="str">
        <x:v>Inhaltliche Genauigkeit</x:v>
      </x:c>
      <x:c r="E1" s="77" t="str">
        <x:v>Natürlichkeit</x:v>
      </x:c>
      <x:c r="F1" s="77" t="str">
        <x:v>Grammatik</x:v>
      </x:c>
      <x:c r="G1" s="77" t="str">
        <x:v>Terminologie</x:v>
      </x:c>
      <x:c r="H1" s="77" t="str">
        <x:v>Konsistenz</x:v>
      </x:c>
      <x:c r="I1" s="77" t="str">
        <x:v>Gesamtqualität</x:v>
      </x:c>
      <x:c r="J1" s="78" t="str">
        <x:v>Kurzkommentar</x:v>
      </x:c>
    </x:row>
    <x:row r="2" ht="21.600000381469727" hidden="0" customHeight="1">
      <x:c r="A2" s="97" t="str">
        <x:v>Englisch (en)</x:v>
      </x:c>
      <x:c r="B2" s="97" t="str">
        <x:v>P00</x:v>
      </x:c>
      <x:c r="C2" s="97" t="str">
        <x:v>Globale UI-Texte</x:v>
      </x:c>
      <x:c r="D2" s="98" t="n">
        <x:v>98</x:v>
      </x:c>
      <x:c r="E2" s="98" t="n">
        <x:v>97</x:v>
      </x:c>
      <x:c r="F2" s="98" t="n">
        <x:v>98</x:v>
      </x:c>
      <x:c r="G2" s="98" t="n">
        <x:v>97</x:v>
      </x:c>
      <x:c r="H2" s="98" t="n">
        <x:v>97</x:v>
      </x:c>
      <x:c r="I2" s="98" t="n">
        <x:f>ROUND(AVERAGE(D2:H2),0)</x:f>
        <x:v>97</x:v>
      </x:c>
      <x:c r="J2" s="97" t="str">
        <x:v>Sehr gute bis praktisch muttersprachliche Übersetzungsqualität; keine relevanten Einzelprobleme im geprüften Paket.</x:v>
      </x:c>
    </x:row>
    <x:row r="3" ht="21.600000381469727" hidden="0" customHeight="1">
      <x:c r="A3" s="99" t="str">
        <x:v>Französisch (fr-FR)</x:v>
      </x:c>
      <x:c r="B3" s="99" t="str">
        <x:v>P00</x:v>
      </x:c>
      <x:c r="C3" s="99" t="str">
        <x:v>Globale UI-Texte</x:v>
      </x:c>
      <x:c r="D3" s="100" t="n">
        <x:v>98</x:v>
      </x:c>
      <x:c r="E3" s="100" t="n">
        <x:v>97</x:v>
      </x:c>
      <x:c r="F3" s="100" t="n">
        <x:v>98</x:v>
      </x:c>
      <x:c r="G3" s="100" t="n">
        <x:v>97</x:v>
      </x:c>
      <x:c r="H3" s="100" t="n">
        <x:v>97</x:v>
      </x:c>
      <x:c r="I3" s="100" t="n">
        <x:f>ROUND(AVERAGE(D3:H3),0)</x:f>
        <x:v>97</x:v>
      </x:c>
      <x:c r="J3" s="99" t="str">
        <x:v>Sehr gute bis praktisch muttersprachliche Übersetzungsqualität; keine relevanten Einzelprobleme im geprüften Paket.</x:v>
      </x:c>
    </x:row>
    <x:row r="4" ht="21.600000381469727" hidden="0" customHeight="1">
      <x:c r="A4" s="97" t="str">
        <x:v>Dänisch (da-DK)</x:v>
      </x:c>
      <x:c r="B4" s="97" t="str">
        <x:v>P00</x:v>
      </x:c>
      <x:c r="C4" s="97" t="str">
        <x:v>Globale UI-Texte</x:v>
      </x:c>
      <x:c r="D4" s="98" t="n">
        <x:v>98</x:v>
      </x:c>
      <x:c r="E4" s="98" t="n">
        <x:v>97</x:v>
      </x:c>
      <x:c r="F4" s="98" t="n">
        <x:v>98</x:v>
      </x:c>
      <x:c r="G4" s="98" t="n">
        <x:v>97</x:v>
      </x:c>
      <x:c r="H4" s="98" t="n">
        <x:v>97</x:v>
      </x:c>
      <x:c r="I4" s="98" t="n">
        <x:f>ROUND(AVERAGE(D4:H4),0)</x:f>
        <x:v>97</x:v>
      </x:c>
      <x:c r="J4" s="97" t="str">
        <x:v>Sehr gute bis praktisch muttersprachliche Übersetzungsqualität; keine relevanten Einzelprobleme im geprüften Paket.</x:v>
      </x:c>
    </x:row>
    <x:row r="5" ht="21.600000381469727" hidden="0" customHeight="1">
      <x:c r="A5" s="99" t="str">
        <x:v>Spanisch (es-ES)</x:v>
      </x:c>
      <x:c r="B5" s="99" t="str">
        <x:v>P00</x:v>
      </x:c>
      <x:c r="C5" s="99" t="str">
        <x:v>Globale UI-Texte</x:v>
      </x:c>
      <x:c r="D5" s="100" t="n">
        <x:v>98</x:v>
      </x:c>
      <x:c r="E5" s="100" t="n">
        <x:v>97</x:v>
      </x:c>
      <x:c r="F5" s="100" t="n">
        <x:v>98</x:v>
      </x:c>
      <x:c r="G5" s="100" t="n">
        <x:v>97</x:v>
      </x:c>
      <x:c r="H5" s="100" t="n">
        <x:v>97</x:v>
      </x:c>
      <x:c r="I5" s="100" t="n">
        <x:f>ROUND(AVERAGE(D5:H5),0)</x:f>
        <x:v>97</x:v>
      </x:c>
      <x:c r="J5" s="99" t="str">
        <x:v>Sehr gute bis praktisch muttersprachliche Übersetzungsqualität; keine relevanten Einzelprobleme im geprüften Paket.</x:v>
      </x:c>
    </x:row>
    <x:row r="6" ht="21.600000381469727" hidden="0" customHeight="1">
      <x:c r="A6" s="97" t="str">
        <x:v>Niederländisch (nl-NL)</x:v>
      </x:c>
      <x:c r="B6" s="97" t="str">
        <x:v>P00</x:v>
      </x:c>
      <x:c r="C6" s="97" t="str">
        <x:v>Globale UI-Texte</x:v>
      </x:c>
      <x:c r="D6" s="98" t="n">
        <x:v>98</x:v>
      </x:c>
      <x:c r="E6" s="98" t="n">
        <x:v>97</x:v>
      </x:c>
      <x:c r="F6" s="98" t="n">
        <x:v>98</x:v>
      </x:c>
      <x:c r="G6" s="98" t="n">
        <x:v>97</x:v>
      </x:c>
      <x:c r="H6" s="98" t="n">
        <x:v>97</x:v>
      </x:c>
      <x:c r="I6" s="98" t="n">
        <x:f>ROUND(AVERAGE(D6:H6),0)</x:f>
        <x:v>97</x:v>
      </x:c>
      <x:c r="J6" s="97" t="str">
        <x:v>Sehr gute bis praktisch muttersprachliche Übersetzungsqualität; keine relevanten Einzelprobleme im geprüften Paket.</x:v>
      </x:c>
    </x:row>
    <x:row r="7" ht="21.600000381469727" hidden="0" customHeight="1">
      <x:c r="A7" s="99" t="str">
        <x:v>Norwegisch Bokmål (nb-NO)</x:v>
      </x:c>
      <x:c r="B7" s="99" t="str">
        <x:v>P00</x:v>
      </x:c>
      <x:c r="C7" s="99" t="str">
        <x:v>Globale UI-Texte</x:v>
      </x:c>
      <x:c r="D7" s="100" t="n">
        <x:v>98</x:v>
      </x:c>
      <x:c r="E7" s="100" t="n">
        <x:v>97</x:v>
      </x:c>
      <x:c r="F7" s="100" t="n">
        <x:v>98</x:v>
      </x:c>
      <x:c r="G7" s="100" t="n">
        <x:v>97</x:v>
      </x:c>
      <x:c r="H7" s="100" t="n">
        <x:v>97</x:v>
      </x:c>
      <x:c r="I7" s="100" t="n">
        <x:f>ROUND(AVERAGE(D7:H7),0)</x:f>
        <x:v>97</x:v>
      </x:c>
      <x:c r="J7" s="99" t="str">
        <x:v>Sehr gute bis praktisch muttersprachliche Übersetzungsqualität; keine relevanten Einzelprobleme im geprüften Paket.</x:v>
      </x:c>
    </x:row>
    <x:row r="8" ht="21.600000381469727" hidden="0" customHeight="1">
      <x:c r="A8" s="97" t="str">
        <x:v>Schwedisch (sv-SE)</x:v>
      </x:c>
      <x:c r="B8" s="97" t="str">
        <x:v>P00</x:v>
      </x:c>
      <x:c r="C8" s="97" t="str">
        <x:v>Globale UI-Texte</x:v>
      </x:c>
      <x:c r="D8" s="98" t="n">
        <x:v>98</x:v>
      </x:c>
      <x:c r="E8" s="98" t="n">
        <x:v>97</x:v>
      </x:c>
      <x:c r="F8" s="98" t="n">
        <x:v>98</x:v>
      </x:c>
      <x:c r="G8" s="98" t="n">
        <x:v>97</x:v>
      </x:c>
      <x:c r="H8" s="98" t="n">
        <x:v>97</x:v>
      </x:c>
      <x:c r="I8" s="98" t="n">
        <x:f>ROUND(AVERAGE(D8:H8),0)</x:f>
        <x:v>97</x:v>
      </x:c>
      <x:c r="J8" s="97" t="str">
        <x:v>Sehr gute bis praktisch muttersprachliche Übersetzungsqualität; keine relevanten Einzelprobleme im geprüften Paket.</x:v>
      </x:c>
    </x:row>
    <x:row r="9" ht="21.600000381469727" hidden="0" customHeight="1">
      <x:c r="A9" s="99" t="str">
        <x:v>Englisch (en)</x:v>
      </x:c>
      <x:c r="B9" s="99" t="str">
        <x:v>P01</x:v>
      </x:c>
      <x:c r="C9" s="99" t="str">
        <x:v>Homepage – Kerntexte</x:v>
      </x:c>
      <x:c r="D9" s="100" t="n">
        <x:v>93</x:v>
      </x:c>
      <x:c r="E9" s="100" t="n">
        <x:v>91</x:v>
      </x:c>
      <x:c r="F9" s="100" t="n">
        <x:v>92</x:v>
      </x:c>
      <x:c r="G9" s="100" t="n">
        <x:v>96</x:v>
      </x:c>
      <x:c r="H9" s="100" t="n">
        <x:v>94</x:v>
      </x:c>
      <x:c r="I9" s="100" t="n">
        <x:f>ROUND(AVERAGE(D9:H9),0)</x:f>
        <x:v>93</x:v>
      </x:c>
      <x:c r="J9" s="99" t="str">
        <x:v>Mehrere sichtbare Kernstrings weichen in Vollständigkeit bzw. natürlicher Headline-Sprache vom DE-Master ab.</x:v>
      </x:c>
    </x:row>
    <x:row r="10" ht="15" hidden="0" customHeight="1">
      <x:c r="A10" s="97" t="str">
        <x:v>Französisch (fr-FR)</x:v>
      </x:c>
      <x:c r="B10" s="97" t="str">
        <x:v>P01</x:v>
      </x:c>
      <x:c r="C10" s="97" t="str">
        <x:v>Homepage – Kerntexte</x:v>
      </x:c>
      <x:c r="D10" s="98" t="n">
        <x:v>96</x:v>
      </x:c>
      <x:c r="E10" s="98" t="n">
        <x:v>92</x:v>
      </x:c>
      <x:c r="F10" s="98" t="n">
        <x:v>96</x:v>
      </x:c>
      <x:c r="G10" s="98" t="n">
        <x:v>96</x:v>
      </x:c>
      <x:c r="H10" s="98" t="n">
        <x:v>90</x:v>
      </x:c>
      <x:c r="I10" s="98" t="n">
        <x:f>ROUND(AVERAGE(D10:H10),0)</x:f>
        <x:v>94</x:v>
      </x:c>
      <x:c r="J10" s="97" t="str">
        <x:v>Registerwechsel zwischen tu/ta und vous/votre; ansonsten gute Kernlokalisierung.</x:v>
      </x:c>
    </x:row>
    <x:row r="11" ht="21.600000381469727" hidden="0" customHeight="1">
      <x:c r="A11" s="99" t="str">
        <x:v>Dänisch (da-DK)</x:v>
      </x:c>
      <x:c r="B11" s="99" t="str">
        <x:v>P01</x:v>
      </x:c>
      <x:c r="C11" s="99" t="str">
        <x:v>Homepage – Kerntexte</x:v>
      </x:c>
      <x:c r="D11" s="100" t="n">
        <x:v>98</x:v>
      </x:c>
      <x:c r="E11" s="100" t="n">
        <x:v>97</x:v>
      </x:c>
      <x:c r="F11" s="100" t="n">
        <x:v>98</x:v>
      </x:c>
      <x:c r="G11" s="100" t="n">
        <x:v>97</x:v>
      </x:c>
      <x:c r="H11" s="100" t="n">
        <x:v>97</x:v>
      </x:c>
      <x:c r="I11" s="100" t="n">
        <x:f>ROUND(AVERAGE(D11:H11),0)</x:f>
        <x:v>97</x:v>
      </x:c>
      <x:c r="J11" s="99" t="str">
        <x:v>Sehr gute bis praktisch muttersprachliche Übersetzungsqualität; keine relevanten Einzelprobleme im geprüften Paket.</x:v>
      </x:c>
    </x:row>
    <x:row r="12" ht="21.600000381469727" hidden="0" customHeight="1">
      <x:c r="A12" s="97" t="str">
        <x:v>Spanisch (es-ES)</x:v>
      </x:c>
      <x:c r="B12" s="97" t="str">
        <x:v>P01</x:v>
      </x:c>
      <x:c r="C12" s="97" t="str">
        <x:v>Homepage – Kerntexte</x:v>
      </x:c>
      <x:c r="D12" s="98" t="n">
        <x:v>98</x:v>
      </x:c>
      <x:c r="E12" s="98" t="n">
        <x:v>97</x:v>
      </x:c>
      <x:c r="F12" s="98" t="n">
        <x:v>98</x:v>
      </x:c>
      <x:c r="G12" s="98" t="n">
        <x:v>97</x:v>
      </x:c>
      <x:c r="H12" s="98" t="n">
        <x:v>97</x:v>
      </x:c>
      <x:c r="I12" s="98" t="n">
        <x:f>ROUND(AVERAGE(D12:H12),0)</x:f>
        <x:v>97</x:v>
      </x:c>
      <x:c r="J12" s="97" t="str">
        <x:v>Sehr gute bis praktisch muttersprachliche Übersetzungsqualität; keine relevanten Einzelprobleme im geprüften Paket.</x:v>
      </x:c>
    </x:row>
    <x:row r="13" ht="21.600000381469727" hidden="0" customHeight="1">
      <x:c r="A13" s="99" t="str">
        <x:v>Niederländisch (nl-NL)</x:v>
      </x:c>
      <x:c r="B13" s="99" t="str">
        <x:v>P01</x:v>
      </x:c>
      <x:c r="C13" s="99" t="str">
        <x:v>Homepage – Kerntexte</x:v>
      </x:c>
      <x:c r="D13" s="100" t="n">
        <x:v>98</x:v>
      </x:c>
      <x:c r="E13" s="100" t="n">
        <x:v>97</x:v>
      </x:c>
      <x:c r="F13" s="100" t="n">
        <x:v>98</x:v>
      </x:c>
      <x:c r="G13" s="100" t="n">
        <x:v>97</x:v>
      </x:c>
      <x:c r="H13" s="100" t="n">
        <x:v>97</x:v>
      </x:c>
      <x:c r="I13" s="100" t="n">
        <x:f>ROUND(AVERAGE(D13:H13),0)</x:f>
        <x:v>97</x:v>
      </x:c>
      <x:c r="J13" s="99" t="str">
        <x:v>Sehr gute bis praktisch muttersprachliche Übersetzungsqualität; keine relevanten Einzelprobleme im geprüften Paket.</x:v>
      </x:c>
    </x:row>
    <x:row r="14" ht="21.600000381469727" hidden="0" customHeight="1">
      <x:c r="A14" s="97" t="str">
        <x:v>Norwegisch Bokmål (nb-NO)</x:v>
      </x:c>
      <x:c r="B14" s="97" t="str">
        <x:v>P01</x:v>
      </x:c>
      <x:c r="C14" s="97" t="str">
        <x:v>Homepage – Kerntexte</x:v>
      </x:c>
      <x:c r="D14" s="98" t="n">
        <x:v>98</x:v>
      </x:c>
      <x:c r="E14" s="98" t="n">
        <x:v>97</x:v>
      </x:c>
      <x:c r="F14" s="98" t="n">
        <x:v>98</x:v>
      </x:c>
      <x:c r="G14" s="98" t="n">
        <x:v>97</x:v>
      </x:c>
      <x:c r="H14" s="98" t="n">
        <x:v>97</x:v>
      </x:c>
      <x:c r="I14" s="98" t="n">
        <x:f>ROUND(AVERAGE(D14:H14),0)</x:f>
        <x:v>97</x:v>
      </x:c>
      <x:c r="J14" s="97" t="str">
        <x:v>Sehr gute bis praktisch muttersprachliche Übersetzungsqualität; keine relevanten Einzelprobleme im geprüften Paket.</x:v>
      </x:c>
    </x:row>
    <x:row r="15" ht="21.600000381469727" hidden="0" customHeight="1">
      <x:c r="A15" s="99" t="str">
        <x:v>Schwedisch (sv-SE)</x:v>
      </x:c>
      <x:c r="B15" s="99" t="str">
        <x:v>P01</x:v>
      </x:c>
      <x:c r="C15" s="99" t="str">
        <x:v>Homepage – Kerntexte</x:v>
      </x:c>
      <x:c r="D15" s="100" t="n">
        <x:v>98</x:v>
      </x:c>
      <x:c r="E15" s="100" t="n">
        <x:v>97</x:v>
      </x:c>
      <x:c r="F15" s="100" t="n">
        <x:v>98</x:v>
      </x:c>
      <x:c r="G15" s="100" t="n">
        <x:v>97</x:v>
      </x:c>
      <x:c r="H15" s="100" t="n">
        <x:v>97</x:v>
      </x:c>
      <x:c r="I15" s="100" t="n">
        <x:f>ROUND(AVERAGE(D15:H15),0)</x:f>
        <x:v>97</x:v>
      </x:c>
      <x:c r="J15" s="99" t="str">
        <x:v>Sehr gute bis praktisch muttersprachliche Übersetzungsqualität; keine relevanten Einzelprobleme im geprüften Paket.</x:v>
      </x:c>
    </x:row>
    <x:row r="16" ht="21.600000381469727" hidden="0" customHeight="1">
      <x:c r="A16" s="97" t="str">
        <x:v>Englisch (en)</x:v>
      </x:c>
      <x:c r="B16" s="97" t="str">
        <x:v>P02</x:v>
      </x:c>
      <x:c r="C16" s="97" t="str">
        <x:v>Homepage – Vorteile &amp; Module</x:v>
      </x:c>
      <x:c r="D16" s="98" t="n">
        <x:v>83</x:v>
      </x:c>
      <x:c r="E16" s="98" t="n">
        <x:v>92</x:v>
      </x:c>
      <x:c r="F16" s="98" t="n">
        <x:v>96</x:v>
      </x:c>
      <x:c r="G16" s="98" t="n">
        <x:v>86</x:v>
      </x:c>
      <x:c r="H16" s="98" t="n">
        <x:v>88</x:v>
      </x:c>
      <x:c r="I16" s="98" t="n">
        <x:f>ROUND(AVERAGE(D16:H16),0)</x:f>
        <x:v>89</x:v>
      </x:c>
      <x:c r="J16" s="97" t="str">
        <x:v>Alte EN-Claims verstärken den aktuellen Master; „Ankerwinde“ wird einmal zum generischen „winch“.</x:v>
      </x:c>
    </x:row>
    <x:row r="17" ht="15" hidden="0" customHeight="1">
      <x:c r="A17" s="99" t="str">
        <x:v>Französisch (fr-FR)</x:v>
      </x:c>
      <x:c r="B17" s="99" t="str">
        <x:v>P02</x:v>
      </x:c>
      <x:c r="C17" s="99" t="str">
        <x:v>Homepage – Vorteile &amp; Module</x:v>
      </x:c>
      <x:c r="D17" s="100" t="n">
        <x:v>85</x:v>
      </x:c>
      <x:c r="E17" s="100" t="n">
        <x:v>90</x:v>
      </x:c>
      <x:c r="F17" s="100" t="n">
        <x:v>91</x:v>
      </x:c>
      <x:c r="G17" s="100" t="n">
        <x:v>94</x:v>
      </x:c>
      <x:c r="H17" s="100" t="n">
        <x:v>88</x:v>
      </x:c>
      <x:c r="I17" s="100" t="n">
        <x:f>ROUND(AVERAGE(D17:H17),0)</x:f>
        <x:v>90</x:v>
      </x:c>
      <x:c r="J17" s="99" t="str">
        <x:v>Alte FR-Claims verstärken den aktuellen Master; zusätzlich kleiner Apostrophfehler.</x:v>
      </x:c>
    </x:row>
    <x:row r="18" ht="21.600000381469727" hidden="0" customHeight="1">
      <x:c r="A18" s="97" t="str">
        <x:v>Dänisch (da-DK)</x:v>
      </x:c>
      <x:c r="B18" s="97" t="str">
        <x:v>P02</x:v>
      </x:c>
      <x:c r="C18" s="97" t="str">
        <x:v>Homepage – Vorteile &amp; Module</x:v>
      </x:c>
      <x:c r="D18" s="98" t="n">
        <x:v>98</x:v>
      </x:c>
      <x:c r="E18" s="98" t="n">
        <x:v>96</x:v>
      </x:c>
      <x:c r="F18" s="98" t="n">
        <x:v>98</x:v>
      </x:c>
      <x:c r="G18" s="98" t="n">
        <x:v>97</x:v>
      </x:c>
      <x:c r="H18" s="98" t="n">
        <x:v>96</x:v>
      </x:c>
      <x:c r="I18" s="98" t="n">
        <x:f>ROUND(AVERAGE(D18:H18),0)</x:f>
        <x:v>97</x:v>
      </x:c>
      <x:c r="J18" s="97" t="str">
        <x:v>Sehr gute bis praktisch muttersprachliche Übersetzungsqualität; keine relevanten Einzelprobleme im geprüften Paket.</x:v>
      </x:c>
    </x:row>
    <x:row r="19" ht="21.600000381469727" hidden="0" customHeight="1">
      <x:c r="A19" s="99" t="str">
        <x:v>Spanisch (es-ES)</x:v>
      </x:c>
      <x:c r="B19" s="99" t="str">
        <x:v>P02</x:v>
      </x:c>
      <x:c r="C19" s="99" t="str">
        <x:v>Homepage – Vorteile &amp; Module</x:v>
      </x:c>
      <x:c r="D19" s="100" t="n">
        <x:v>98</x:v>
      </x:c>
      <x:c r="E19" s="100" t="n">
        <x:v>96</x:v>
      </x:c>
      <x:c r="F19" s="100" t="n">
        <x:v>98</x:v>
      </x:c>
      <x:c r="G19" s="100" t="n">
        <x:v>97</x:v>
      </x:c>
      <x:c r="H19" s="100" t="n">
        <x:v>96</x:v>
      </x:c>
      <x:c r="I19" s="100" t="n">
        <x:f>ROUND(AVERAGE(D19:H19),0)</x:f>
        <x:v>97</x:v>
      </x:c>
      <x:c r="J19" s="99" t="str">
        <x:v>Sehr gute bis praktisch muttersprachliche Übersetzungsqualität; keine relevanten Einzelprobleme im geprüften Paket.</x:v>
      </x:c>
    </x:row>
    <x:row r="20" ht="21.600000381469727" hidden="0" customHeight="1">
      <x:c r="A20" s="97" t="str">
        <x:v>Niederländisch (nl-NL)</x:v>
      </x:c>
      <x:c r="B20" s="97" t="str">
        <x:v>P02</x:v>
      </x:c>
      <x:c r="C20" s="97" t="str">
        <x:v>Homepage – Vorteile &amp; Module</x:v>
      </x:c>
      <x:c r="D20" s="98" t="n">
        <x:v>98</x:v>
      </x:c>
      <x:c r="E20" s="98" t="n">
        <x:v>96</x:v>
      </x:c>
      <x:c r="F20" s="98" t="n">
        <x:v>98</x:v>
      </x:c>
      <x:c r="G20" s="98" t="n">
        <x:v>97</x:v>
      </x:c>
      <x:c r="H20" s="98" t="n">
        <x:v>96</x:v>
      </x:c>
      <x:c r="I20" s="98" t="n">
        <x:f>ROUND(AVERAGE(D20:H20),0)</x:f>
        <x:v>97</x:v>
      </x:c>
      <x:c r="J20" s="97" t="str">
        <x:v>Sehr gute bis praktisch muttersprachliche Übersetzungsqualität; keine relevanten Einzelprobleme im geprüften Paket.</x:v>
      </x:c>
    </x:row>
    <x:row r="21" ht="21.600000381469727" hidden="0" customHeight="1">
      <x:c r="A21" s="99" t="str">
        <x:v>Norwegisch Bokmål (nb-NO)</x:v>
      </x:c>
      <x:c r="B21" s="99" t="str">
        <x:v>P02</x:v>
      </x:c>
      <x:c r="C21" s="99" t="str">
        <x:v>Homepage – Vorteile &amp; Module</x:v>
      </x:c>
      <x:c r="D21" s="100" t="n">
        <x:v>98</x:v>
      </x:c>
      <x:c r="E21" s="100" t="n">
        <x:v>96</x:v>
      </x:c>
      <x:c r="F21" s="100" t="n">
        <x:v>98</x:v>
      </x:c>
      <x:c r="G21" s="100" t="n">
        <x:v>97</x:v>
      </x:c>
      <x:c r="H21" s="100" t="n">
        <x:v>96</x:v>
      </x:c>
      <x:c r="I21" s="100" t="n">
        <x:f>ROUND(AVERAGE(D21:H21),0)</x:f>
        <x:v>97</x:v>
      </x:c>
      <x:c r="J21" s="99" t="str">
        <x:v>Sehr gute bis praktisch muttersprachliche Übersetzungsqualität; keine relevanten Einzelprobleme im geprüften Paket.</x:v>
      </x:c>
    </x:row>
    <x:row r="22" ht="21.600000381469727" hidden="0" customHeight="1">
      <x:c r="A22" s="97" t="str">
        <x:v>Schwedisch (sv-SE)</x:v>
      </x:c>
      <x:c r="B22" s="97" t="str">
        <x:v>P02</x:v>
      </x:c>
      <x:c r="C22" s="97" t="str">
        <x:v>Homepage – Vorteile &amp; Module</x:v>
      </x:c>
      <x:c r="D22" s="98" t="n">
        <x:v>98</x:v>
      </x:c>
      <x:c r="E22" s="98" t="n">
        <x:v>96</x:v>
      </x:c>
      <x:c r="F22" s="98" t="n">
        <x:v>98</x:v>
      </x:c>
      <x:c r="G22" s="98" t="n">
        <x:v>97</x:v>
      </x:c>
      <x:c r="H22" s="98" t="n">
        <x:v>96</x:v>
      </x:c>
      <x:c r="I22" s="98" t="n">
        <x:f>ROUND(AVERAGE(D22:H22),0)</x:f>
        <x:v>97</x:v>
      </x:c>
      <x:c r="J22" s="97" t="str">
        <x:v>Sehr gute bis praktisch muttersprachliche Übersetzungsqualität; keine relevanten Einzelprobleme im geprüften Paket.</x:v>
      </x:c>
    </x:row>
    <x:row r="23" ht="21.600000381469727" hidden="0" customHeight="1">
      <x:c r="A23" s="99" t="str">
        <x:v>Englisch (en)</x:v>
      </x:c>
      <x:c r="B23" s="99" t="str">
        <x:v>P03</x:v>
      </x:c>
      <x:c r="C23" s="99" t="str">
        <x:v>Kontaktformular</x:v>
      </x:c>
      <x:c r="D23" s="100" t="n">
        <x:v>98</x:v>
      </x:c>
      <x:c r="E23" s="100" t="n">
        <x:v>96</x:v>
      </x:c>
      <x:c r="F23" s="100" t="n">
        <x:v>98</x:v>
      </x:c>
      <x:c r="G23" s="100" t="n">
        <x:v>97</x:v>
      </x:c>
      <x:c r="H23" s="100" t="n">
        <x:v>95</x:v>
      </x:c>
      <x:c r="I23" s="100" t="n">
        <x:f>ROUND(AVERAGE(D23:H23),0)</x:f>
        <x:v>97</x:v>
      </x:c>
      <x:c r="J23" s="99" t="str">
        <x:v>Sehr gute bis praktisch muttersprachliche Übersetzungsqualität; keine relevanten Einzelprobleme im geprüften Paket.</x:v>
      </x:c>
    </x:row>
    <x:row r="24" ht="21.600000381469727" hidden="0" customHeight="1">
      <x:c r="A24" s="97" t="str">
        <x:v>Französisch (fr-FR)</x:v>
      </x:c>
      <x:c r="B24" s="97" t="str">
        <x:v>P03</x:v>
      </x:c>
      <x:c r="C24" s="97" t="str">
        <x:v>Kontaktformular</x:v>
      </x:c>
      <x:c r="D24" s="98" t="n">
        <x:v>98</x:v>
      </x:c>
      <x:c r="E24" s="98" t="n">
        <x:v>96</x:v>
      </x:c>
      <x:c r="F24" s="98" t="n">
        <x:v>98</x:v>
      </x:c>
      <x:c r="G24" s="98" t="n">
        <x:v>97</x:v>
      </x:c>
      <x:c r="H24" s="98" t="n">
        <x:v>95</x:v>
      </x:c>
      <x:c r="I24" s="98" t="n">
        <x:f>ROUND(AVERAGE(D24:H24),0)</x:f>
        <x:v>97</x:v>
      </x:c>
      <x:c r="J24" s="97" t="str">
        <x:v>Sehr gute bis praktisch muttersprachliche Übersetzungsqualität; keine relevanten Einzelprobleme im geprüften Paket.</x:v>
      </x:c>
    </x:row>
    <x:row r="25" ht="21.600000381469727" hidden="0" customHeight="1">
      <x:c r="A25" s="99" t="str">
        <x:v>Dänisch (da-DK)</x:v>
      </x:c>
      <x:c r="B25" s="99" t="str">
        <x:v>P03</x:v>
      </x:c>
      <x:c r="C25" s="99" t="str">
        <x:v>Kontaktformular</x:v>
      </x:c>
      <x:c r="D25" s="100" t="n">
        <x:v>99</x:v>
      </x:c>
      <x:c r="E25" s="100" t="n">
        <x:v>98</x:v>
      </x:c>
      <x:c r="F25" s="100" t="n">
        <x:v>99</x:v>
      </x:c>
      <x:c r="G25" s="100" t="n">
        <x:v>98</x:v>
      </x:c>
      <x:c r="H25" s="100" t="n">
        <x:v>98</x:v>
      </x:c>
      <x:c r="I25" s="100" t="n">
        <x:f>ROUND(AVERAGE(D25:H25),0)</x:f>
        <x:v>98</x:v>
      </x:c>
      <x:c r="J25" s="99" t="str">
        <x:v>Sehr gute bis praktisch muttersprachliche Übersetzungsqualität; keine relevanten Einzelprobleme im geprüften Paket.</x:v>
      </x:c>
    </x:row>
    <x:row r="26" ht="21.600000381469727" hidden="0" customHeight="1">
      <x:c r="A26" s="97" t="str">
        <x:v>Spanisch (es-ES)</x:v>
      </x:c>
      <x:c r="B26" s="97" t="str">
        <x:v>P03</x:v>
      </x:c>
      <x:c r="C26" s="97" t="str">
        <x:v>Kontaktformular</x:v>
      </x:c>
      <x:c r="D26" s="98" t="n">
        <x:v>99</x:v>
      </x:c>
      <x:c r="E26" s="98" t="n">
        <x:v>98</x:v>
      </x:c>
      <x:c r="F26" s="98" t="n">
        <x:v>99</x:v>
      </x:c>
      <x:c r="G26" s="98" t="n">
        <x:v>98</x:v>
      </x:c>
      <x:c r="H26" s="98" t="n">
        <x:v>98</x:v>
      </x:c>
      <x:c r="I26" s="98" t="n">
        <x:f>ROUND(AVERAGE(D26:H26),0)</x:f>
        <x:v>98</x:v>
      </x:c>
      <x:c r="J26" s="97" t="str">
        <x:v>Sehr gute bis praktisch muttersprachliche Übersetzungsqualität; keine relevanten Einzelprobleme im geprüften Paket.</x:v>
      </x:c>
    </x:row>
    <x:row r="27" ht="21.600000381469727" hidden="0" customHeight="1">
      <x:c r="A27" s="99" t="str">
        <x:v>Niederländisch (nl-NL)</x:v>
      </x:c>
      <x:c r="B27" s="99" t="str">
        <x:v>P03</x:v>
      </x:c>
      <x:c r="C27" s="99" t="str">
        <x:v>Kontaktformular</x:v>
      </x:c>
      <x:c r="D27" s="100" t="n">
        <x:v>99</x:v>
      </x:c>
      <x:c r="E27" s="100" t="n">
        <x:v>98</x:v>
      </x:c>
      <x:c r="F27" s="100" t="n">
        <x:v>99</x:v>
      </x:c>
      <x:c r="G27" s="100" t="n">
        <x:v>98</x:v>
      </x:c>
      <x:c r="H27" s="100" t="n">
        <x:v>98</x:v>
      </x:c>
      <x:c r="I27" s="100" t="n">
        <x:f>ROUND(AVERAGE(D27:H27),0)</x:f>
        <x:v>98</x:v>
      </x:c>
      <x:c r="J27" s="99" t="str">
        <x:v>Sehr gute bis praktisch muttersprachliche Übersetzungsqualität; keine relevanten Einzelprobleme im geprüften Paket.</x:v>
      </x:c>
    </x:row>
    <x:row r="28" ht="21.600000381469727" hidden="0" customHeight="1">
      <x:c r="A28" s="97" t="str">
        <x:v>Norwegisch Bokmål (nb-NO)</x:v>
      </x:c>
      <x:c r="B28" s="97" t="str">
        <x:v>P03</x:v>
      </x:c>
      <x:c r="C28" s="97" t="str">
        <x:v>Kontaktformular</x:v>
      </x:c>
      <x:c r="D28" s="98" t="n">
        <x:v>99</x:v>
      </x:c>
      <x:c r="E28" s="98" t="n">
        <x:v>98</x:v>
      </x:c>
      <x:c r="F28" s="98" t="n">
        <x:v>99</x:v>
      </x:c>
      <x:c r="G28" s="98" t="n">
        <x:v>98</x:v>
      </x:c>
      <x:c r="H28" s="98" t="n">
        <x:v>98</x:v>
      </x:c>
      <x:c r="I28" s="98" t="n">
        <x:f>ROUND(AVERAGE(D28:H28),0)</x:f>
        <x:v>98</x:v>
      </x:c>
      <x:c r="J28" s="97" t="str">
        <x:v>Sehr gute bis praktisch muttersprachliche Übersetzungsqualität; keine relevanten Einzelprobleme im geprüften Paket.</x:v>
      </x:c>
    </x:row>
    <x:row r="29" ht="21.600000381469727" hidden="0" customHeight="1">
      <x:c r="A29" s="99" t="str">
        <x:v>Schwedisch (sv-SE)</x:v>
      </x:c>
      <x:c r="B29" s="99" t="str">
        <x:v>P03</x:v>
      </x:c>
      <x:c r="C29" s="99" t="str">
        <x:v>Kontaktformular</x:v>
      </x:c>
      <x:c r="D29" s="100" t="n">
        <x:v>99</x:v>
      </x:c>
      <x:c r="E29" s="100" t="n">
        <x:v>98</x:v>
      </x:c>
      <x:c r="F29" s="100" t="n">
        <x:v>99</x:v>
      </x:c>
      <x:c r="G29" s="100" t="n">
        <x:v>98</x:v>
      </x:c>
      <x:c r="H29" s="100" t="n">
        <x:v>98</x:v>
      </x:c>
      <x:c r="I29" s="100" t="n">
        <x:f>ROUND(AVERAGE(D29:H29),0)</x:f>
        <x:v>98</x:v>
      </x:c>
      <x:c r="J29" s="99" t="str">
        <x:v>Sehr gute bis praktisch muttersprachliche Übersetzungsqualität; keine relevanten Einzelprobleme im geprüften Paket.</x:v>
      </x:c>
    </x:row>
    <x:row r="30" ht="21.600000381469727" hidden="0" customHeight="1">
      <x:c r="A30" s="97" t="str">
        <x:v>Englisch (en)</x:v>
      </x:c>
      <x:c r="B30" s="97" t="str">
        <x:v>P04</x:v>
      </x:c>
      <x:c r="C30" s="97" t="str">
        <x:v>Produktpositionierung &amp; Story</x:v>
      </x:c>
      <x:c r="D30" s="98" t="n">
        <x:v>98</x:v>
      </x:c>
      <x:c r="E30" s="98" t="n">
        <x:v>97</x:v>
      </x:c>
      <x:c r="F30" s="98" t="n">
        <x:v>98</x:v>
      </x:c>
      <x:c r="G30" s="98" t="n">
        <x:v>97</x:v>
      </x:c>
      <x:c r="H30" s="98" t="n">
        <x:v>97</x:v>
      </x:c>
      <x:c r="I30" s="98" t="n">
        <x:f>ROUND(AVERAGE(D30:H30),0)</x:f>
        <x:v>97</x:v>
      </x:c>
      <x:c r="J30" s="97" t="str">
        <x:v>Sehr gute bis praktisch muttersprachliche Übersetzungsqualität; keine relevanten Einzelprobleme im geprüften Paket.</x:v>
      </x:c>
    </x:row>
    <x:row r="31" ht="21.600000381469727" hidden="0" customHeight="1">
      <x:c r="A31" s="99" t="str">
        <x:v>Französisch (fr-FR)</x:v>
      </x:c>
      <x:c r="B31" s="99" t="str">
        <x:v>P04</x:v>
      </x:c>
      <x:c r="C31" s="99" t="str">
        <x:v>Produktpositionierung &amp; Story</x:v>
      </x:c>
      <x:c r="D31" s="100" t="n">
        <x:v>98</x:v>
      </x:c>
      <x:c r="E31" s="100" t="n">
        <x:v>97</x:v>
      </x:c>
      <x:c r="F31" s="100" t="n">
        <x:v>98</x:v>
      </x:c>
      <x:c r="G31" s="100" t="n">
        <x:v>97</x:v>
      </x:c>
      <x:c r="H31" s="100" t="n">
        <x:v>97</x:v>
      </x:c>
      <x:c r="I31" s="100" t="n">
        <x:f>ROUND(AVERAGE(D31:H31),0)</x:f>
        <x:v>97</x:v>
      </x:c>
      <x:c r="J31" s="99" t="str">
        <x:v>Sehr gute bis praktisch muttersprachliche Übersetzungsqualität; keine relevanten Einzelprobleme im geprüften Paket.</x:v>
      </x:c>
    </x:row>
    <x:row r="32" ht="21.600000381469727" hidden="0" customHeight="1">
      <x:c r="A32" s="97" t="str">
        <x:v>Dänisch (da-DK)</x:v>
      </x:c>
      <x:c r="B32" s="97" t="str">
        <x:v>P04</x:v>
      </x:c>
      <x:c r="C32" s="97" t="str">
        <x:v>Produktpositionierung &amp; Story</x:v>
      </x:c>
      <x:c r="D32" s="98" t="n">
        <x:v>98</x:v>
      </x:c>
      <x:c r="E32" s="98" t="n">
        <x:v>97</x:v>
      </x:c>
      <x:c r="F32" s="98" t="n">
        <x:v>98</x:v>
      </x:c>
      <x:c r="G32" s="98" t="n">
        <x:v>97</x:v>
      </x:c>
      <x:c r="H32" s="98" t="n">
        <x:v>97</x:v>
      </x:c>
      <x:c r="I32" s="98" t="n">
        <x:f>ROUND(AVERAGE(D32:H32),0)</x:f>
        <x:v>97</x:v>
      </x:c>
      <x:c r="J32" s="97" t="str">
        <x:v>Sehr gute bis praktisch muttersprachliche Übersetzungsqualität; keine relevanten Einzelprobleme im geprüften Paket.</x:v>
      </x:c>
    </x:row>
    <x:row r="33" ht="21.600000381469727" hidden="0" customHeight="1">
      <x:c r="A33" s="99" t="str">
        <x:v>Spanisch (es-ES)</x:v>
      </x:c>
      <x:c r="B33" s="99" t="str">
        <x:v>P04</x:v>
      </x:c>
      <x:c r="C33" s="99" t="str">
        <x:v>Produktpositionierung &amp; Story</x:v>
      </x:c>
      <x:c r="D33" s="100" t="n">
        <x:v>98</x:v>
      </x:c>
      <x:c r="E33" s="100" t="n">
        <x:v>97</x:v>
      </x:c>
      <x:c r="F33" s="100" t="n">
        <x:v>98</x:v>
      </x:c>
      <x:c r="G33" s="100" t="n">
        <x:v>97</x:v>
      </x:c>
      <x:c r="H33" s="100" t="n">
        <x:v>97</x:v>
      </x:c>
      <x:c r="I33" s="100" t="n">
        <x:f>ROUND(AVERAGE(D33:H33),0)</x:f>
        <x:v>97</x:v>
      </x:c>
      <x:c r="J33" s="99" t="str">
        <x:v>Sehr gute bis praktisch muttersprachliche Übersetzungsqualität; keine relevanten Einzelprobleme im geprüften Paket.</x:v>
      </x:c>
    </x:row>
    <x:row r="34" ht="21.600000381469727" hidden="0" customHeight="1">
      <x:c r="A34" s="97" t="str">
        <x:v>Niederländisch (nl-NL)</x:v>
      </x:c>
      <x:c r="B34" s="97" t="str">
        <x:v>P04</x:v>
      </x:c>
      <x:c r="C34" s="97" t="str">
        <x:v>Produktpositionierung &amp; Story</x:v>
      </x:c>
      <x:c r="D34" s="98" t="n">
        <x:v>98</x:v>
      </x:c>
      <x:c r="E34" s="98" t="n">
        <x:v>97</x:v>
      </x:c>
      <x:c r="F34" s="98" t="n">
        <x:v>98</x:v>
      </x:c>
      <x:c r="G34" s="98" t="n">
        <x:v>97</x:v>
      </x:c>
      <x:c r="H34" s="98" t="n">
        <x:v>97</x:v>
      </x:c>
      <x:c r="I34" s="98" t="n">
        <x:f>ROUND(AVERAGE(D34:H34),0)</x:f>
        <x:v>97</x:v>
      </x:c>
      <x:c r="J34" s="97" t="str">
        <x:v>Sehr gute bis praktisch muttersprachliche Übersetzungsqualität; keine relevanten Einzelprobleme im geprüften Paket.</x:v>
      </x:c>
    </x:row>
    <x:row r="35" ht="21.600000381469727" hidden="0" customHeight="1">
      <x:c r="A35" s="99" t="str">
        <x:v>Norwegisch Bokmål (nb-NO)</x:v>
      </x:c>
      <x:c r="B35" s="99" t="str">
        <x:v>P04</x:v>
      </x:c>
      <x:c r="C35" s="99" t="str">
        <x:v>Produktpositionierung &amp; Story</x:v>
      </x:c>
      <x:c r="D35" s="100" t="n">
        <x:v>98</x:v>
      </x:c>
      <x:c r="E35" s="100" t="n">
        <x:v>97</x:v>
      </x:c>
      <x:c r="F35" s="100" t="n">
        <x:v>98</x:v>
      </x:c>
      <x:c r="G35" s="100" t="n">
        <x:v>97</x:v>
      </x:c>
      <x:c r="H35" s="100" t="n">
        <x:v>97</x:v>
      </x:c>
      <x:c r="I35" s="100" t="n">
        <x:f>ROUND(AVERAGE(D35:H35),0)</x:f>
        <x:v>97</x:v>
      </x:c>
      <x:c r="J35" s="99" t="str">
        <x:v>Sehr gute bis praktisch muttersprachliche Übersetzungsqualität; keine relevanten Einzelprobleme im geprüften Paket.</x:v>
      </x:c>
    </x:row>
    <x:row r="36" ht="21.600000381469727" hidden="0" customHeight="1">
      <x:c r="A36" s="97" t="str">
        <x:v>Schwedisch (sv-SE)</x:v>
      </x:c>
      <x:c r="B36" s="97" t="str">
        <x:v>P04</x:v>
      </x:c>
      <x:c r="C36" s="97" t="str">
        <x:v>Produktpositionierung &amp; Story</x:v>
      </x:c>
      <x:c r="D36" s="98" t="n">
        <x:v>98</x:v>
      </x:c>
      <x:c r="E36" s="98" t="n">
        <x:v>97</x:v>
      </x:c>
      <x:c r="F36" s="98" t="n">
        <x:v>98</x:v>
      </x:c>
      <x:c r="G36" s="98" t="n">
        <x:v>97</x:v>
      </x:c>
      <x:c r="H36" s="98" t="n">
        <x:v>97</x:v>
      </x:c>
      <x:c r="I36" s="98" t="n">
        <x:f>ROUND(AVERAGE(D36:H36),0)</x:f>
        <x:v>97</x:v>
      </x:c>
      <x:c r="J36" s="97" t="str">
        <x:v>Sehr gute bis praktisch muttersprachliche Übersetzungsqualität; keine relevanten Einzelprobleme im geprüften Paket.</x:v>
      </x:c>
    </x:row>
    <x:row r="37" ht="21.600000381469727" hidden="0" customHeight="1">
      <x:c r="A37" s="99" t="str">
        <x:v>Englisch (en)</x:v>
      </x:c>
      <x:c r="B37" s="99" t="str">
        <x:v>P05</x:v>
      </x:c>
      <x:c r="C37" s="99" t="str">
        <x:v>Produkt – Technik &amp; Conversion</x:v>
      </x:c>
      <x:c r="D37" s="100" t="n">
        <x:v>98</x:v>
      </x:c>
      <x:c r="E37" s="100" t="n">
        <x:v>97</x:v>
      </x:c>
      <x:c r="F37" s="100" t="n">
        <x:v>98</x:v>
      </x:c>
      <x:c r="G37" s="100" t="n">
        <x:v>97</x:v>
      </x:c>
      <x:c r="H37" s="100" t="n">
        <x:v>97</x:v>
      </x:c>
      <x:c r="I37" s="100" t="n">
        <x:f>ROUND(AVERAGE(D37:H37),0)</x:f>
        <x:v>97</x:v>
      </x:c>
      <x:c r="J37" s="99" t="str">
        <x:v>Sehr gute bis praktisch muttersprachliche Übersetzungsqualität; keine relevanten Einzelprobleme im geprüften Paket.</x:v>
      </x:c>
    </x:row>
    <x:row r="38" ht="21.600000381469727" hidden="0" customHeight="1">
      <x:c r="A38" s="97" t="str">
        <x:v>Französisch (fr-FR)</x:v>
      </x:c>
      <x:c r="B38" s="97" t="str">
        <x:v>P05</x:v>
      </x:c>
      <x:c r="C38" s="97" t="str">
        <x:v>Produkt – Technik &amp; Conversion</x:v>
      </x:c>
      <x:c r="D38" s="98" t="n">
        <x:v>98</x:v>
      </x:c>
      <x:c r="E38" s="98" t="n">
        <x:v>97</x:v>
      </x:c>
      <x:c r="F38" s="98" t="n">
        <x:v>98</x:v>
      </x:c>
      <x:c r="G38" s="98" t="n">
        <x:v>97</x:v>
      </x:c>
      <x:c r="H38" s="98" t="n">
        <x:v>97</x:v>
      </x:c>
      <x:c r="I38" s="98" t="n">
        <x:f>ROUND(AVERAGE(D38:H38),0)</x:f>
        <x:v>97</x:v>
      </x:c>
      <x:c r="J38" s="97" t="str">
        <x:v>Sehr gute bis praktisch muttersprachliche Übersetzungsqualität; keine relevanten Einzelprobleme im geprüften Paket.</x:v>
      </x:c>
    </x:row>
    <x:row r="39" ht="21.600000381469727" hidden="0" customHeight="1">
      <x:c r="A39" s="99" t="str">
        <x:v>Dänisch (da-DK)</x:v>
      </x:c>
      <x:c r="B39" s="99" t="str">
        <x:v>P05</x:v>
      </x:c>
      <x:c r="C39" s="99" t="str">
        <x:v>Produkt – Technik &amp; Conversion</x:v>
      </x:c>
      <x:c r="D39" s="100" t="n">
        <x:v>97</x:v>
      </x:c>
      <x:c r="E39" s="100" t="n">
        <x:v>91</x:v>
      </x:c>
      <x:c r="F39" s="100" t="n">
        <x:v>97</x:v>
      </x:c>
      <x:c r="G39" s="100" t="n">
        <x:v>93</x:v>
      </x:c>
      <x:c r="H39" s="100" t="n">
        <x:v>96</x:v>
      </x:c>
      <x:c r="I39" s="100" t="n">
        <x:f>ROUND(AVERAGE(D39:H39),0)</x:f>
        <x:v>95</x:v>
      </x:c>
      <x:c r="J39" s="99" t="str">
        <x:v>Gute technische Übertragung; ein auffällig wörtlicher TCU-Satz mindert die Natürlichkeit.</x:v>
      </x:c>
    </x:row>
    <x:row r="40" ht="21.600000381469727" hidden="0" customHeight="1">
      <x:c r="A40" s="97" t="str">
        <x:v>Spanisch (es-ES)</x:v>
      </x:c>
      <x:c r="B40" s="97" t="str">
        <x:v>P05</x:v>
      </x:c>
      <x:c r="C40" s="97" t="str">
        <x:v>Produkt – Technik &amp; Conversion</x:v>
      </x:c>
      <x:c r="D40" s="98" t="n">
        <x:v>98</x:v>
      </x:c>
      <x:c r="E40" s="98" t="n">
        <x:v>97</x:v>
      </x:c>
      <x:c r="F40" s="98" t="n">
        <x:v>98</x:v>
      </x:c>
      <x:c r="G40" s="98" t="n">
        <x:v>97</x:v>
      </x:c>
      <x:c r="H40" s="98" t="n">
        <x:v>97</x:v>
      </x:c>
      <x:c r="I40" s="98" t="n">
        <x:f>ROUND(AVERAGE(D40:H40),0)</x:f>
        <x:v>97</x:v>
      </x:c>
      <x:c r="J40" s="97" t="str">
        <x:v>Sehr gute bis praktisch muttersprachliche Übersetzungsqualität; keine relevanten Einzelprobleme im geprüften Paket.</x:v>
      </x:c>
    </x:row>
    <x:row r="41" ht="21.600000381469727" hidden="0" customHeight="1">
      <x:c r="A41" s="99" t="str">
        <x:v>Niederländisch (nl-NL)</x:v>
      </x:c>
      <x:c r="B41" s="99" t="str">
        <x:v>P05</x:v>
      </x:c>
      <x:c r="C41" s="99" t="str">
        <x:v>Produkt – Technik &amp; Conversion</x:v>
      </x:c>
      <x:c r="D41" s="100" t="n">
        <x:v>98</x:v>
      </x:c>
      <x:c r="E41" s="100" t="n">
        <x:v>97</x:v>
      </x:c>
      <x:c r="F41" s="100" t="n">
        <x:v>98</x:v>
      </x:c>
      <x:c r="G41" s="100" t="n">
        <x:v>97</x:v>
      </x:c>
      <x:c r="H41" s="100" t="n">
        <x:v>97</x:v>
      </x:c>
      <x:c r="I41" s="100" t="n">
        <x:f>ROUND(AVERAGE(D41:H41),0)</x:f>
        <x:v>97</x:v>
      </x:c>
      <x:c r="J41" s="99" t="str">
        <x:v>Sehr gute bis praktisch muttersprachliche Übersetzungsqualität; keine relevanten Einzelprobleme im geprüften Paket.</x:v>
      </x:c>
    </x:row>
    <x:row r="42" ht="21.600000381469727" hidden="0" customHeight="1">
      <x:c r="A42" s="97" t="str">
        <x:v>Norwegisch Bokmål (nb-NO)</x:v>
      </x:c>
      <x:c r="B42" s="97" t="str">
        <x:v>P05</x:v>
      </x:c>
      <x:c r="C42" s="97" t="str">
        <x:v>Produkt – Technik &amp; Conversion</x:v>
      </x:c>
      <x:c r="D42" s="98" t="n">
        <x:v>97</x:v>
      </x:c>
      <x:c r="E42" s="98" t="n">
        <x:v>91</x:v>
      </x:c>
      <x:c r="F42" s="98" t="n">
        <x:v>97</x:v>
      </x:c>
      <x:c r="G42" s="98" t="n">
        <x:v>93</x:v>
      </x:c>
      <x:c r="H42" s="98" t="n">
        <x:v>96</x:v>
      </x:c>
      <x:c r="I42" s="98" t="n">
        <x:f>ROUND(AVERAGE(D42:H42),0)</x:f>
        <x:v>95</x:v>
      </x:c>
      <x:c r="J42" s="97" t="str">
        <x:v>Gute technische Übertragung; ein auffällig wörtlicher TCU-Satz mindert die Natürlichkeit.</x:v>
      </x:c>
    </x:row>
    <x:row r="43" ht="21.600000381469727" hidden="0" customHeight="1">
      <x:c r="A43" s="99" t="str">
        <x:v>Schwedisch (sv-SE)</x:v>
      </x:c>
      <x:c r="B43" s="99" t="str">
        <x:v>P05</x:v>
      </x:c>
      <x:c r="C43" s="99" t="str">
        <x:v>Produkt – Technik &amp; Conversion</x:v>
      </x:c>
      <x:c r="D43" s="100" t="n">
        <x:v>97</x:v>
      </x:c>
      <x:c r="E43" s="100" t="n">
        <x:v>91</x:v>
      </x:c>
      <x:c r="F43" s="100" t="n">
        <x:v>97</x:v>
      </x:c>
      <x:c r="G43" s="100" t="n">
        <x:v>93</x:v>
      </x:c>
      <x:c r="H43" s="100" t="n">
        <x:v>96</x:v>
      </x:c>
      <x:c r="I43" s="100" t="n">
        <x:f>ROUND(AVERAGE(D43:H43),0)</x:f>
        <x:v>95</x:v>
      </x:c>
      <x:c r="J43" s="99" t="str">
        <x:v>Gute technische Übertragung; ein auffällig wörtlicher TCU-Satz mindert die Natürlichkeit.</x:v>
      </x:c>
    </x:row>
    <x:row r="44" ht="21.600000381469727" hidden="0" customHeight="1">
      <x:c r="A44" s="97" t="str">
        <x:v>Englisch (en)</x:v>
      </x:c>
      <x:c r="B44" s="97" t="str">
        <x:v>P06</x:v>
      </x:c>
      <x:c r="C44" s="97" t="str">
        <x:v>Funktionen</x:v>
      </x:c>
      <x:c r="D44" s="98" t="n">
        <x:v>97</x:v>
      </x:c>
      <x:c r="E44" s="98" t="n">
        <x:v>94</x:v>
      </x:c>
      <x:c r="F44" s="98" t="n">
        <x:v>97</x:v>
      </x:c>
      <x:c r="G44" s="98" t="n">
        <x:v>95</x:v>
      </x:c>
      <x:c r="H44" s="98" t="n">
        <x:v>96</x:v>
      </x:c>
      <x:c r="I44" s="98" t="n">
        <x:f>ROUND(AVERAGE(D44:H44),0)</x:f>
        <x:v>96</x:v>
      </x:c>
      <x:c r="J44" s="97" t="str">
        <x:v>Sehr gute bis praktisch muttersprachliche Übersetzungsqualität; keine relevanten Einzelprobleme im geprüften Paket.</x:v>
      </x:c>
    </x:row>
    <x:row r="45" ht="21.600000381469727" hidden="0" customHeight="1">
      <x:c r="A45" s="99" t="str">
        <x:v>Französisch (fr-FR)</x:v>
      </x:c>
      <x:c r="B45" s="99" t="str">
        <x:v>P06</x:v>
      </x:c>
      <x:c r="C45" s="99" t="str">
        <x:v>Funktionen</x:v>
      </x:c>
      <x:c r="D45" s="100" t="n">
        <x:v>96</x:v>
      </x:c>
      <x:c r="E45" s="100" t="n">
        <x:v>93</x:v>
      </x:c>
      <x:c r="F45" s="100" t="n">
        <x:v>97</x:v>
      </x:c>
      <x:c r="G45" s="100" t="n">
        <x:v>92</x:v>
      </x:c>
      <x:c r="H45" s="100" t="n">
        <x:v>94</x:v>
      </x:c>
      <x:c r="I45" s="100" t="n">
        <x:f>ROUND(AVERAGE(D45:H45),0)</x:f>
        <x:v>94</x:v>
      </x:c>
      <x:c r="J45" s="99" t="str">
        <x:v>Sehr gute bis praktisch muttersprachliche Übersetzungsqualität; keine relevanten Einzelprobleme im geprüften Paket.</x:v>
      </x:c>
    </x:row>
    <x:row r="46" ht="21.600000381469727" hidden="0" customHeight="1">
      <x:c r="A46" s="97" t="str">
        <x:v>Dänisch (da-DK)</x:v>
      </x:c>
      <x:c r="B46" s="97" t="str">
        <x:v>P06</x:v>
      </x:c>
      <x:c r="C46" s="97" t="str">
        <x:v>Funktionen</x:v>
      </x:c>
      <x:c r="D46" s="98" t="n">
        <x:v>98</x:v>
      </x:c>
      <x:c r="E46" s="98" t="n">
        <x:v>97</x:v>
      </x:c>
      <x:c r="F46" s="98" t="n">
        <x:v>98</x:v>
      </x:c>
      <x:c r="G46" s="98" t="n">
        <x:v>97</x:v>
      </x:c>
      <x:c r="H46" s="98" t="n">
        <x:v>97</x:v>
      </x:c>
      <x:c r="I46" s="98" t="n">
        <x:f>ROUND(AVERAGE(D46:H46),0)</x:f>
        <x:v>97</x:v>
      </x:c>
      <x:c r="J46" s="97" t="str">
        <x:v>Sehr gute bis praktisch muttersprachliche Übersetzungsqualität; keine relevanten Einzelprobleme im geprüften Paket.</x:v>
      </x:c>
    </x:row>
    <x:row r="47" ht="21.600000381469727" hidden="0" customHeight="1">
      <x:c r="A47" s="99" t="str">
        <x:v>Spanisch (es-ES)</x:v>
      </x:c>
      <x:c r="B47" s="99" t="str">
        <x:v>P06</x:v>
      </x:c>
      <x:c r="C47" s="99" t="str">
        <x:v>Funktionen</x:v>
      </x:c>
      <x:c r="D47" s="100" t="n">
        <x:v>98</x:v>
      </x:c>
      <x:c r="E47" s="100" t="n">
        <x:v>97</x:v>
      </x:c>
      <x:c r="F47" s="100" t="n">
        <x:v>98</x:v>
      </x:c>
      <x:c r="G47" s="100" t="n">
        <x:v>97</x:v>
      </x:c>
      <x:c r="H47" s="100" t="n">
        <x:v>97</x:v>
      </x:c>
      <x:c r="I47" s="100" t="n">
        <x:f>ROUND(AVERAGE(D47:H47),0)</x:f>
        <x:v>97</x:v>
      </x:c>
      <x:c r="J47" s="99" t="str">
        <x:v>Sehr gute bis praktisch muttersprachliche Übersetzungsqualität; keine relevanten Einzelprobleme im geprüften Paket.</x:v>
      </x:c>
    </x:row>
    <x:row r="48" ht="21.600000381469727" hidden="0" customHeight="1">
      <x:c r="A48" s="97" t="str">
        <x:v>Niederländisch (nl-NL)</x:v>
      </x:c>
      <x:c r="B48" s="97" t="str">
        <x:v>P06</x:v>
      </x:c>
      <x:c r="C48" s="97" t="str">
        <x:v>Funktionen</x:v>
      </x:c>
      <x:c r="D48" s="98" t="n">
        <x:v>98</x:v>
      </x:c>
      <x:c r="E48" s="98" t="n">
        <x:v>97</x:v>
      </x:c>
      <x:c r="F48" s="98" t="n">
        <x:v>98</x:v>
      </x:c>
      <x:c r="G48" s="98" t="n">
        <x:v>97</x:v>
      </x:c>
      <x:c r="H48" s="98" t="n">
        <x:v>97</x:v>
      </x:c>
      <x:c r="I48" s="98" t="n">
        <x:f>ROUND(AVERAGE(D48:H48),0)</x:f>
        <x:v>97</x:v>
      </x:c>
      <x:c r="J48" s="97" t="str">
        <x:v>Sehr gute bis praktisch muttersprachliche Übersetzungsqualität; keine relevanten Einzelprobleme im geprüften Paket.</x:v>
      </x:c>
    </x:row>
    <x:row r="49" ht="21.600000381469727" hidden="0" customHeight="1">
      <x:c r="A49" s="99" t="str">
        <x:v>Norwegisch Bokmål (nb-NO)</x:v>
      </x:c>
      <x:c r="B49" s="99" t="str">
        <x:v>P06</x:v>
      </x:c>
      <x:c r="C49" s="99" t="str">
        <x:v>Funktionen</x:v>
      </x:c>
      <x:c r="D49" s="100" t="n">
        <x:v>98</x:v>
      </x:c>
      <x:c r="E49" s="100" t="n">
        <x:v>97</x:v>
      </x:c>
      <x:c r="F49" s="100" t="n">
        <x:v>98</x:v>
      </x:c>
      <x:c r="G49" s="100" t="n">
        <x:v>97</x:v>
      </x:c>
      <x:c r="H49" s="100" t="n">
        <x:v>97</x:v>
      </x:c>
      <x:c r="I49" s="100" t="n">
        <x:f>ROUND(AVERAGE(D49:H49),0)</x:f>
        <x:v>97</x:v>
      </x:c>
      <x:c r="J49" s="99" t="str">
        <x:v>Sehr gute bis praktisch muttersprachliche Übersetzungsqualität; keine relevanten Einzelprobleme im geprüften Paket.</x:v>
      </x:c>
    </x:row>
    <x:row r="50" ht="21.600000381469727" hidden="0" customHeight="1">
      <x:c r="A50" s="97" t="str">
        <x:v>Schwedisch (sv-SE)</x:v>
      </x:c>
      <x:c r="B50" s="97" t="str">
        <x:v>P06</x:v>
      </x:c>
      <x:c r="C50" s="97" t="str">
        <x:v>Funktionen</x:v>
      </x:c>
      <x:c r="D50" s="98" t="n">
        <x:v>98</x:v>
      </x:c>
      <x:c r="E50" s="98" t="n">
        <x:v>97</x:v>
      </x:c>
      <x:c r="F50" s="98" t="n">
        <x:v>98</x:v>
      </x:c>
      <x:c r="G50" s="98" t="n">
        <x:v>97</x:v>
      </x:c>
      <x:c r="H50" s="98" t="n">
        <x:v>97</x:v>
      </x:c>
      <x:c r="I50" s="98" t="n">
        <x:f>ROUND(AVERAGE(D50:H50),0)</x:f>
        <x:v>97</x:v>
      </x:c>
      <x:c r="J50" s="97" t="str">
        <x:v>Sehr gute bis praktisch muttersprachliche Übersetzungsqualität; keine relevanten Einzelprobleme im geprüften Paket.</x:v>
      </x:c>
    </x:row>
    <x:row r="51" ht="21.600000381469727" hidden="0" customHeight="1">
      <x:c r="A51" s="99" t="str">
        <x:v>Englisch (en)</x:v>
      </x:c>
      <x:c r="B51" s="99" t="str">
        <x:v>P07</x:v>
      </x:c>
      <x:c r="C51" s="99" t="str">
        <x:v>Installation – Shell &amp; Dokumente</x:v>
      </x:c>
      <x:c r="D51" s="100" t="n">
        <x:v>80</x:v>
      </x:c>
      <x:c r="E51" s="100" t="n">
        <x:v>85</x:v>
      </x:c>
      <x:c r="F51" s="100" t="n">
        <x:v>90</x:v>
      </x:c>
      <x:c r="G51" s="100" t="n">
        <x:v>88</x:v>
      </x:c>
      <x:c r="H51" s="100" t="n">
        <x:v>80</x:v>
      </x:c>
      <x:c r="I51" s="100" t="n">
        <x:f>ROUND(AVERAGE(D51:H51),0)</x:f>
        <x:v>85</x:v>
      </x:c>
      <x:c r="J51" s="99" t="str">
        <x:v>Acht aktive Inline-/SEO-/Status-Texte sind nicht auf eine verifizierte englische Quelle abgebildet.</x:v>
      </x:c>
    </x:row>
    <x:row r="52" ht="21.600000381469727" hidden="0" customHeight="1">
      <x:c r="A52" s="97" t="str">
        <x:v>Französisch (fr-FR)</x:v>
      </x:c>
      <x:c r="B52" s="97" t="str">
        <x:v>P07</x:v>
      </x:c>
      <x:c r="C52" s="97" t="str">
        <x:v>Installation – Shell &amp; Dokumente</x:v>
      </x:c>
      <x:c r="D52" s="98" t="n">
        <x:v>80</x:v>
      </x:c>
      <x:c r="E52" s="98" t="n">
        <x:v>84</x:v>
      </x:c>
      <x:c r="F52" s="98" t="n">
        <x:v>90</x:v>
      </x:c>
      <x:c r="G52" s="98" t="n">
        <x:v>88</x:v>
      </x:c>
      <x:c r="H52" s="98" t="n">
        <x:v>80</x:v>
      </x:c>
      <x:c r="I52" s="98" t="n">
        <x:f>ROUND(AVERAGE(D52:H52),0)</x:f>
        <x:v>84</x:v>
      </x:c>
      <x:c r="J52" s="97" t="str">
        <x:v>Acht aktive Inline-/SEO-/Status-Texte sind nicht auf eine verifizierte französische Quelle abgebildet.</x:v>
      </x:c>
    </x:row>
    <x:row r="53" ht="21.600000381469727" hidden="0" customHeight="1">
      <x:c r="A53" s="99" t="str">
        <x:v>Dänisch (da-DK)</x:v>
      </x:c>
      <x:c r="B53" s="99" t="str">
        <x:v>P07</x:v>
      </x:c>
      <x:c r="C53" s="99" t="str">
        <x:v>Installation – Shell &amp; Dokumente</x:v>
      </x:c>
      <x:c r="D53" s="100" t="n">
        <x:v>98</x:v>
      </x:c>
      <x:c r="E53" s="100" t="n">
        <x:v>97</x:v>
      </x:c>
      <x:c r="F53" s="100" t="n">
        <x:v>98</x:v>
      </x:c>
      <x:c r="G53" s="100" t="n">
        <x:v>97</x:v>
      </x:c>
      <x:c r="H53" s="100" t="n">
        <x:v>97</x:v>
      </x:c>
      <x:c r="I53" s="100" t="n">
        <x:f>ROUND(AVERAGE(D53:H53),0)</x:f>
        <x:v>97</x:v>
      </x:c>
      <x:c r="J53" s="99" t="str">
        <x:v>Sehr gute bis praktisch muttersprachliche Übersetzungsqualität; keine relevanten Einzelprobleme im geprüften Paket.</x:v>
      </x:c>
    </x:row>
    <x:row r="54" ht="21.600000381469727" hidden="0" customHeight="1">
      <x:c r="A54" s="97" t="str">
        <x:v>Spanisch (es-ES)</x:v>
      </x:c>
      <x:c r="B54" s="97" t="str">
        <x:v>P07</x:v>
      </x:c>
      <x:c r="C54" s="97" t="str">
        <x:v>Installation – Shell &amp; Dokumente</x:v>
      </x:c>
      <x:c r="D54" s="98" t="n">
        <x:v>98</x:v>
      </x:c>
      <x:c r="E54" s="98" t="n">
        <x:v>97</x:v>
      </x:c>
      <x:c r="F54" s="98" t="n">
        <x:v>98</x:v>
      </x:c>
      <x:c r="G54" s="98" t="n">
        <x:v>97</x:v>
      </x:c>
      <x:c r="H54" s="98" t="n">
        <x:v>97</x:v>
      </x:c>
      <x:c r="I54" s="98" t="n">
        <x:f>ROUND(AVERAGE(D54:H54),0)</x:f>
        <x:v>97</x:v>
      </x:c>
      <x:c r="J54" s="97" t="str">
        <x:v>Sehr gute bis praktisch muttersprachliche Übersetzungsqualität; keine relevanten Einzelprobleme im geprüften Paket.</x:v>
      </x:c>
    </x:row>
    <x:row r="55" ht="21.600000381469727" hidden="0" customHeight="1">
      <x:c r="A55" s="99" t="str">
        <x:v>Niederländisch (nl-NL)</x:v>
      </x:c>
      <x:c r="B55" s="99" t="str">
        <x:v>P07</x:v>
      </x:c>
      <x:c r="C55" s="99" t="str">
        <x:v>Installation – Shell &amp; Dokumente</x:v>
      </x:c>
      <x:c r="D55" s="100" t="n">
        <x:v>98</x:v>
      </x:c>
      <x:c r="E55" s="100" t="n">
        <x:v>97</x:v>
      </x:c>
      <x:c r="F55" s="100" t="n">
        <x:v>98</x:v>
      </x:c>
      <x:c r="G55" s="100" t="n">
        <x:v>97</x:v>
      </x:c>
      <x:c r="H55" s="100" t="n">
        <x:v>97</x:v>
      </x:c>
      <x:c r="I55" s="100" t="n">
        <x:f>ROUND(AVERAGE(D55:H55),0)</x:f>
        <x:v>97</x:v>
      </x:c>
      <x:c r="J55" s="99" t="str">
        <x:v>Sehr gute bis praktisch muttersprachliche Übersetzungsqualität; keine relevanten Einzelprobleme im geprüften Paket.</x:v>
      </x:c>
    </x:row>
    <x:row r="56" ht="21.600000381469727" hidden="0" customHeight="1">
      <x:c r="A56" s="97" t="str">
        <x:v>Norwegisch Bokmål (nb-NO)</x:v>
      </x:c>
      <x:c r="B56" s="97" t="str">
        <x:v>P07</x:v>
      </x:c>
      <x:c r="C56" s="97" t="str">
        <x:v>Installation – Shell &amp; Dokumente</x:v>
      </x:c>
      <x:c r="D56" s="98" t="n">
        <x:v>98</x:v>
      </x:c>
      <x:c r="E56" s="98" t="n">
        <x:v>97</x:v>
      </x:c>
      <x:c r="F56" s="98" t="n">
        <x:v>98</x:v>
      </x:c>
      <x:c r="G56" s="98" t="n">
        <x:v>97</x:v>
      </x:c>
      <x:c r="H56" s="98" t="n">
        <x:v>97</x:v>
      </x:c>
      <x:c r="I56" s="98" t="n">
        <x:f>ROUND(AVERAGE(D56:H56),0)</x:f>
        <x:v>97</x:v>
      </x:c>
      <x:c r="J56" s="97" t="str">
        <x:v>Sehr gute bis praktisch muttersprachliche Übersetzungsqualität; keine relevanten Einzelprobleme im geprüften Paket.</x:v>
      </x:c>
    </x:row>
    <x:row r="57" ht="21.600000381469727" hidden="0" customHeight="1">
      <x:c r="A57" s="99" t="str">
        <x:v>Schwedisch (sv-SE)</x:v>
      </x:c>
      <x:c r="B57" s="99" t="str">
        <x:v>P07</x:v>
      </x:c>
      <x:c r="C57" s="99" t="str">
        <x:v>Installation – Shell &amp; Dokumente</x:v>
      </x:c>
      <x:c r="D57" s="100" t="n">
        <x:v>98</x:v>
      </x:c>
      <x:c r="E57" s="100" t="n">
        <x:v>97</x:v>
      </x:c>
      <x:c r="F57" s="100" t="n">
        <x:v>98</x:v>
      </x:c>
      <x:c r="G57" s="100" t="n">
        <x:v>97</x:v>
      </x:c>
      <x:c r="H57" s="100" t="n">
        <x:v>97</x:v>
      </x:c>
      <x:c r="I57" s="100" t="n">
        <x:f>ROUND(AVERAGE(D57:H57),0)</x:f>
        <x:v>97</x:v>
      </x:c>
      <x:c r="J57" s="99" t="str">
        <x:v>Sehr gute bis praktisch muttersprachliche Übersetzungsqualität; keine relevanten Einzelprobleme im geprüften Paket.</x:v>
      </x:c>
    </x:row>
    <x:row r="58" ht="15" hidden="0" customHeight="1">
      <x:c r="A58" s="97" t="str">
        <x:v>Englisch (en)</x:v>
      </x:c>
      <x:c r="B58" s="97" t="str">
        <x:v>P08</x:v>
      </x:c>
      <x:c r="C58" s="97" t="str">
        <x:v>Installation – technische Terminologie</x:v>
      </x:c>
      <x:c r="D58" s="98" t="n">
        <x:v>82</x:v>
      </x:c>
      <x:c r="E58" s="98" t="n">
        <x:v>88</x:v>
      </x:c>
      <x:c r="F58" s="98" t="n">
        <x:v>92</x:v>
      </x:c>
      <x:c r="G58" s="98" t="n">
        <x:v>83</x:v>
      </x:c>
      <x:c r="H58" s="98" t="n">
        <x:v>84</x:v>
      </x:c>
      <x:c r="I58" s="98" t="n">
        <x:f>ROUND(AVERAGE(D58:H58),0)</x:f>
        <x:v>86</x:v>
      </x:c>
      <x:c r="J58" s="97" t="str">
        <x:v>Drei technische Beschriftungen sind nur als deutscher Master/Fallback dokumentiert.</x:v>
      </x:c>
    </x:row>
    <x:row r="59" ht="15" hidden="0" customHeight="1">
      <x:c r="A59" s="99" t="str">
        <x:v>Französisch (fr-FR)</x:v>
      </x:c>
      <x:c r="B59" s="99" t="str">
        <x:v>P08</x:v>
      </x:c>
      <x:c r="C59" s="99" t="str">
        <x:v>Installation – technische Terminologie</x:v>
      </x:c>
      <x:c r="D59" s="100" t="n">
        <x:v>82</x:v>
      </x:c>
      <x:c r="E59" s="100" t="n">
        <x:v>87</x:v>
      </x:c>
      <x:c r="F59" s="100" t="n">
        <x:v>92</x:v>
      </x:c>
      <x:c r="G59" s="100" t="n">
        <x:v>83</x:v>
      </x:c>
      <x:c r="H59" s="100" t="n">
        <x:v>84</x:v>
      </x:c>
      <x:c r="I59" s="100" t="n">
        <x:f>ROUND(AVERAGE(D59:H59),0)</x:f>
        <x:v>86</x:v>
      </x:c>
      <x:c r="J59" s="99" t="str">
        <x:v>Drei technische Beschriftungen sind nur als deutscher Master/Fallback dokumentiert.</x:v>
      </x:c>
    </x:row>
    <x:row r="60" ht="21.600000381469727" hidden="0" customHeight="1">
      <x:c r="A60" s="97" t="str">
        <x:v>Dänisch (da-DK)</x:v>
      </x:c>
      <x:c r="B60" s="97" t="str">
        <x:v>P08</x:v>
      </x:c>
      <x:c r="C60" s="97" t="str">
        <x:v>Installation – technische Terminologie</x:v>
      </x:c>
      <x:c r="D60" s="98" t="n">
        <x:v>99</x:v>
      </x:c>
      <x:c r="E60" s="98" t="n">
        <x:v>98</x:v>
      </x:c>
      <x:c r="F60" s="98" t="n">
        <x:v>99</x:v>
      </x:c>
      <x:c r="G60" s="98" t="n">
        <x:v>98</x:v>
      </x:c>
      <x:c r="H60" s="98" t="n">
        <x:v>98</x:v>
      </x:c>
      <x:c r="I60" s="98" t="n">
        <x:f>ROUND(AVERAGE(D60:H60),0)</x:f>
        <x:v>98</x:v>
      </x:c>
      <x:c r="J60" s="97" t="str">
        <x:v>Sehr gute bis praktisch muttersprachliche Übersetzungsqualität; keine relevanten Einzelprobleme im geprüften Paket.</x:v>
      </x:c>
    </x:row>
    <x:row r="61" ht="21.600000381469727" hidden="0" customHeight="1">
      <x:c r="A61" s="99" t="str">
        <x:v>Spanisch (es-ES)</x:v>
      </x:c>
      <x:c r="B61" s="99" t="str">
        <x:v>P08</x:v>
      </x:c>
      <x:c r="C61" s="99" t="str">
        <x:v>Installation – technische Terminologie</x:v>
      </x:c>
      <x:c r="D61" s="100" t="n">
        <x:v>99</x:v>
      </x:c>
      <x:c r="E61" s="100" t="n">
        <x:v>98</x:v>
      </x:c>
      <x:c r="F61" s="100" t="n">
        <x:v>99</x:v>
      </x:c>
      <x:c r="G61" s="100" t="n">
        <x:v>98</x:v>
      </x:c>
      <x:c r="H61" s="100" t="n">
        <x:v>98</x:v>
      </x:c>
      <x:c r="I61" s="100" t="n">
        <x:f>ROUND(AVERAGE(D61:H61),0)</x:f>
        <x:v>98</x:v>
      </x:c>
      <x:c r="J61" s="99" t="str">
        <x:v>Sehr gute bis praktisch muttersprachliche Übersetzungsqualität; keine relevanten Einzelprobleme im geprüften Paket.</x:v>
      </x:c>
    </x:row>
    <x:row r="62" ht="21.600000381469727" hidden="0" customHeight="1">
      <x:c r="A62" s="97" t="str">
        <x:v>Niederländisch (nl-NL)</x:v>
      </x:c>
      <x:c r="B62" s="97" t="str">
        <x:v>P08</x:v>
      </x:c>
      <x:c r="C62" s="97" t="str">
        <x:v>Installation – technische Terminologie</x:v>
      </x:c>
      <x:c r="D62" s="98" t="n">
        <x:v>99</x:v>
      </x:c>
      <x:c r="E62" s="98" t="n">
        <x:v>98</x:v>
      </x:c>
      <x:c r="F62" s="98" t="n">
        <x:v>99</x:v>
      </x:c>
      <x:c r="G62" s="98" t="n">
        <x:v>98</x:v>
      </x:c>
      <x:c r="H62" s="98" t="n">
        <x:v>98</x:v>
      </x:c>
      <x:c r="I62" s="98" t="n">
        <x:f>ROUND(AVERAGE(D62:H62),0)</x:f>
        <x:v>98</x:v>
      </x:c>
      <x:c r="J62" s="97" t="str">
        <x:v>Sehr gute bis praktisch muttersprachliche Übersetzungsqualität; keine relevanten Einzelprobleme im geprüften Paket.</x:v>
      </x:c>
    </x:row>
    <x:row r="63" ht="21.600000381469727" hidden="0" customHeight="1">
      <x:c r="A63" s="99" t="str">
        <x:v>Norwegisch Bokmål (nb-NO)</x:v>
      </x:c>
      <x:c r="B63" s="99" t="str">
        <x:v>P08</x:v>
      </x:c>
      <x:c r="C63" s="99" t="str">
        <x:v>Installation – technische Terminologie</x:v>
      </x:c>
      <x:c r="D63" s="100" t="n">
        <x:v>99</x:v>
      </x:c>
      <x:c r="E63" s="100" t="n">
        <x:v>98</x:v>
      </x:c>
      <x:c r="F63" s="100" t="n">
        <x:v>99</x:v>
      </x:c>
      <x:c r="G63" s="100" t="n">
        <x:v>98</x:v>
      </x:c>
      <x:c r="H63" s="100" t="n">
        <x:v>98</x:v>
      </x:c>
      <x:c r="I63" s="100" t="n">
        <x:f>ROUND(AVERAGE(D63:H63),0)</x:f>
        <x:v>98</x:v>
      </x:c>
      <x:c r="J63" s="99" t="str">
        <x:v>Sehr gute bis praktisch muttersprachliche Übersetzungsqualität; keine relevanten Einzelprobleme im geprüften Paket.</x:v>
      </x:c>
    </x:row>
    <x:row r="64" ht="21.600000381469727" hidden="0" customHeight="1">
      <x:c r="A64" s="97" t="str">
        <x:v>Schwedisch (sv-SE)</x:v>
      </x:c>
      <x:c r="B64" s="97" t="str">
        <x:v>P08</x:v>
      </x:c>
      <x:c r="C64" s="97" t="str">
        <x:v>Installation – technische Terminologie</x:v>
      </x:c>
      <x:c r="D64" s="98" t="n">
        <x:v>99</x:v>
      </x:c>
      <x:c r="E64" s="98" t="n">
        <x:v>98</x:v>
      </x:c>
      <x:c r="F64" s="98" t="n">
        <x:v>99</x:v>
      </x:c>
      <x:c r="G64" s="98" t="n">
        <x:v>98</x:v>
      </x:c>
      <x:c r="H64" s="98" t="n">
        <x:v>98</x:v>
      </x:c>
      <x:c r="I64" s="98" t="n">
        <x:f>ROUND(AVERAGE(D64:H64),0)</x:f>
        <x:v>98</x:v>
      </x:c>
      <x:c r="J64" s="97" t="str">
        <x:v>Sehr gute bis praktisch muttersprachliche Übersetzungsqualität; keine relevanten Einzelprobleme im geprüften Paket.</x:v>
      </x:c>
    </x:row>
    <x:row r="65" ht="21.600000381469727" hidden="0" customHeight="1">
      <x:c r="A65" s="99" t="str">
        <x:v>Englisch (en)</x:v>
      </x:c>
      <x:c r="B65" s="99" t="str">
        <x:v>P09</x:v>
      </x:c>
      <x:c r="C65" s="99" t="str">
        <x:v>Dynamische Guide-Titel</x:v>
      </x:c>
      <x:c r="D65" s="100" t="n">
        <x:v>99</x:v>
      </x:c>
      <x:c r="E65" s="100" t="n">
        <x:v>98</x:v>
      </x:c>
      <x:c r="F65" s="100" t="n">
        <x:v>99</x:v>
      </x:c>
      <x:c r="G65" s="100" t="n">
        <x:v>98</x:v>
      </x:c>
      <x:c r="H65" s="100" t="n">
        <x:v>98</x:v>
      </x:c>
      <x:c r="I65" s="100" t="n">
        <x:f>ROUND(AVERAGE(D65:H65),0)</x:f>
        <x:v>98</x:v>
      </x:c>
      <x:c r="J65" s="99" t="str">
        <x:v>Sehr gute bis praktisch muttersprachliche Übersetzungsqualität; keine relevanten Einzelprobleme im geprüften Paket.</x:v>
      </x:c>
    </x:row>
    <x:row r="66" ht="21.600000381469727" hidden="0" customHeight="1">
      <x:c r="A66" s="97" t="str">
        <x:v>Französisch (fr-FR)</x:v>
      </x:c>
      <x:c r="B66" s="97" t="str">
        <x:v>P09</x:v>
      </x:c>
      <x:c r="C66" s="97" t="str">
        <x:v>Dynamische Guide-Titel</x:v>
      </x:c>
      <x:c r="D66" s="98" t="n">
        <x:v>99</x:v>
      </x:c>
      <x:c r="E66" s="98" t="n">
        <x:v>98</x:v>
      </x:c>
      <x:c r="F66" s="98" t="n">
        <x:v>99</x:v>
      </x:c>
      <x:c r="G66" s="98" t="n">
        <x:v>98</x:v>
      </x:c>
      <x:c r="H66" s="98" t="n">
        <x:v>98</x:v>
      </x:c>
      <x:c r="I66" s="98" t="n">
        <x:f>ROUND(AVERAGE(D66:H66),0)</x:f>
        <x:v>98</x:v>
      </x:c>
      <x:c r="J66" s="97" t="str">
        <x:v>Sehr gute bis praktisch muttersprachliche Übersetzungsqualität; keine relevanten Einzelprobleme im geprüften Paket.</x:v>
      </x:c>
    </x:row>
    <x:row r="67" ht="21.600000381469727" hidden="0" customHeight="1">
      <x:c r="A67" s="99" t="str">
        <x:v>Dänisch (da-DK)</x:v>
      </x:c>
      <x:c r="B67" s="99" t="str">
        <x:v>P09</x:v>
      </x:c>
      <x:c r="C67" s="99" t="str">
        <x:v>Dynamische Guide-Titel</x:v>
      </x:c>
      <x:c r="D67" s="100" t="n">
        <x:v>99</x:v>
      </x:c>
      <x:c r="E67" s="100" t="n">
        <x:v>98</x:v>
      </x:c>
      <x:c r="F67" s="100" t="n">
        <x:v>99</x:v>
      </x:c>
      <x:c r="G67" s="100" t="n">
        <x:v>98</x:v>
      </x:c>
      <x:c r="H67" s="100" t="n">
        <x:v>98</x:v>
      </x:c>
      <x:c r="I67" s="100" t="n">
        <x:f>ROUND(AVERAGE(D67:H67),0)</x:f>
        <x:v>98</x:v>
      </x:c>
      <x:c r="J67" s="99" t="str">
        <x:v>Sehr gute bis praktisch muttersprachliche Übersetzungsqualität; keine relevanten Einzelprobleme im geprüften Paket.</x:v>
      </x:c>
    </x:row>
    <x:row r="68" ht="21.600000381469727" hidden="0" customHeight="1">
      <x:c r="A68" s="97" t="str">
        <x:v>Spanisch (es-ES)</x:v>
      </x:c>
      <x:c r="B68" s="97" t="str">
        <x:v>P09</x:v>
      </x:c>
      <x:c r="C68" s="97" t="str">
        <x:v>Dynamische Guide-Titel</x:v>
      </x:c>
      <x:c r="D68" s="98" t="n">
        <x:v>99</x:v>
      </x:c>
      <x:c r="E68" s="98" t="n">
        <x:v>98</x:v>
      </x:c>
      <x:c r="F68" s="98" t="n">
        <x:v>99</x:v>
      </x:c>
      <x:c r="G68" s="98" t="n">
        <x:v>98</x:v>
      </x:c>
      <x:c r="H68" s="98" t="n">
        <x:v>98</x:v>
      </x:c>
      <x:c r="I68" s="98" t="n">
        <x:f>ROUND(AVERAGE(D68:H68),0)</x:f>
        <x:v>98</x:v>
      </x:c>
      <x:c r="J68" s="97" t="str">
        <x:v>Sehr gute bis praktisch muttersprachliche Übersetzungsqualität; keine relevanten Einzelprobleme im geprüften Paket.</x:v>
      </x:c>
    </x:row>
    <x:row r="69" ht="21.600000381469727" hidden="0" customHeight="1">
      <x:c r="A69" s="99" t="str">
        <x:v>Niederländisch (nl-NL)</x:v>
      </x:c>
      <x:c r="B69" s="99" t="str">
        <x:v>P09</x:v>
      </x:c>
      <x:c r="C69" s="99" t="str">
        <x:v>Dynamische Guide-Titel</x:v>
      </x:c>
      <x:c r="D69" s="100" t="n">
        <x:v>99</x:v>
      </x:c>
      <x:c r="E69" s="100" t="n">
        <x:v>98</x:v>
      </x:c>
      <x:c r="F69" s="100" t="n">
        <x:v>99</x:v>
      </x:c>
      <x:c r="G69" s="100" t="n">
        <x:v>98</x:v>
      </x:c>
      <x:c r="H69" s="100" t="n">
        <x:v>98</x:v>
      </x:c>
      <x:c r="I69" s="100" t="n">
        <x:f>ROUND(AVERAGE(D69:H69),0)</x:f>
        <x:v>98</x:v>
      </x:c>
      <x:c r="J69" s="99" t="str">
        <x:v>Sehr gute bis praktisch muttersprachliche Übersetzungsqualität; keine relevanten Einzelprobleme im geprüften Paket.</x:v>
      </x:c>
    </x:row>
    <x:row r="70" ht="21.600000381469727" hidden="0" customHeight="1">
      <x:c r="A70" s="97" t="str">
        <x:v>Norwegisch Bokmål (nb-NO)</x:v>
      </x:c>
      <x:c r="B70" s="97" t="str">
        <x:v>P09</x:v>
      </x:c>
      <x:c r="C70" s="97" t="str">
        <x:v>Dynamische Guide-Titel</x:v>
      </x:c>
      <x:c r="D70" s="98" t="n">
        <x:v>99</x:v>
      </x:c>
      <x:c r="E70" s="98" t="n">
        <x:v>98</x:v>
      </x:c>
      <x:c r="F70" s="98" t="n">
        <x:v>99</x:v>
      </x:c>
      <x:c r="G70" s="98" t="n">
        <x:v>98</x:v>
      </x:c>
      <x:c r="H70" s="98" t="n">
        <x:v>98</x:v>
      </x:c>
      <x:c r="I70" s="98" t="n">
        <x:f>ROUND(AVERAGE(D70:H70),0)</x:f>
        <x:v>98</x:v>
      </x:c>
      <x:c r="J70" s="97" t="str">
        <x:v>Sehr gute bis praktisch muttersprachliche Übersetzungsqualität; keine relevanten Einzelprobleme im geprüften Paket.</x:v>
      </x:c>
    </x:row>
    <x:row r="71" ht="21.600000381469727" hidden="0" customHeight="1">
      <x:c r="A71" s="99" t="str">
        <x:v>Schwedisch (sv-SE)</x:v>
      </x:c>
      <x:c r="B71" s="99" t="str">
        <x:v>P09</x:v>
      </x:c>
      <x:c r="C71" s="99" t="str">
        <x:v>Dynamische Guide-Titel</x:v>
      </x:c>
      <x:c r="D71" s="100" t="n">
        <x:v>99</x:v>
      </x:c>
      <x:c r="E71" s="100" t="n">
        <x:v>98</x:v>
      </x:c>
      <x:c r="F71" s="100" t="n">
        <x:v>99</x:v>
      </x:c>
      <x:c r="G71" s="100" t="n">
        <x:v>98</x:v>
      </x:c>
      <x:c r="H71" s="100" t="n">
        <x:v>98</x:v>
      </x:c>
      <x:c r="I71" s="100" t="n">
        <x:f>ROUND(AVERAGE(D71:H71),0)</x:f>
        <x:v>98</x:v>
      </x:c>
      <x:c r="J71" s="99" t="str">
        <x:v>Sehr gute bis praktisch muttersprachliche Übersetzungsqualität; keine relevanten Einzelprobleme im geprüften Paket.</x:v>
      </x:c>
    </x:row>
    <x:row r="72" ht="21.600000381469727" hidden="0" customHeight="1">
      <x:c r="A72" s="97" t="str">
        <x:v>Englisch (en)</x:v>
      </x:c>
      <x:c r="B72" s="97" t="str">
        <x:v>P10</x:v>
      </x:c>
      <x:c r="C72" s="97" t="str">
        <x:v>Universelle Installationsanleitung</x:v>
      </x:c>
      <x:c r="D72" s="98" t="n">
        <x:v>98</x:v>
      </x:c>
      <x:c r="E72" s="98" t="n">
        <x:v>97</x:v>
      </x:c>
      <x:c r="F72" s="98" t="n">
        <x:v>98</x:v>
      </x:c>
      <x:c r="G72" s="98" t="n">
        <x:v>97</x:v>
      </x:c>
      <x:c r="H72" s="98" t="n">
        <x:v>97</x:v>
      </x:c>
      <x:c r="I72" s="98" t="n">
        <x:f>ROUND(AVERAGE(D72:H72),0)</x:f>
        <x:v>97</x:v>
      </x:c>
      <x:c r="J72" s="97" t="str">
        <x:v>Sehr gute bis praktisch muttersprachliche Übersetzungsqualität; keine relevanten Einzelprobleme im geprüften Paket.</x:v>
      </x:c>
    </x:row>
    <x:row r="73" ht="21.600000381469727" hidden="0" customHeight="1">
      <x:c r="A73" s="99" t="str">
        <x:v>Französisch (fr-FR)</x:v>
      </x:c>
      <x:c r="B73" s="99" t="str">
        <x:v>P10</x:v>
      </x:c>
      <x:c r="C73" s="99" t="str">
        <x:v>Universelle Installationsanleitung</x:v>
      </x:c>
      <x:c r="D73" s="100" t="n">
        <x:v>98</x:v>
      </x:c>
      <x:c r="E73" s="100" t="n">
        <x:v>97</x:v>
      </x:c>
      <x:c r="F73" s="100" t="n">
        <x:v>98</x:v>
      </x:c>
      <x:c r="G73" s="100" t="n">
        <x:v>97</x:v>
      </x:c>
      <x:c r="H73" s="100" t="n">
        <x:v>97</x:v>
      </x:c>
      <x:c r="I73" s="100" t="n">
        <x:f>ROUND(AVERAGE(D73:H73),0)</x:f>
        <x:v>97</x:v>
      </x:c>
      <x:c r="J73" s="99" t="str">
        <x:v>Sehr gute bis praktisch muttersprachliche Übersetzungsqualität; keine relevanten Einzelprobleme im geprüften Paket.</x:v>
      </x:c>
    </x:row>
    <x:row r="74" ht="21.600000381469727" hidden="0" customHeight="1">
      <x:c r="A74" s="97" t="str">
        <x:v>Dänisch (da-DK)</x:v>
      </x:c>
      <x:c r="B74" s="97" t="str">
        <x:v>P10</x:v>
      </x:c>
      <x:c r="C74" s="97" t="str">
        <x:v>Universelle Installationsanleitung</x:v>
      </x:c>
      <x:c r="D74" s="98" t="n">
        <x:v>98</x:v>
      </x:c>
      <x:c r="E74" s="98" t="n">
        <x:v>96</x:v>
      </x:c>
      <x:c r="F74" s="98" t="n">
        <x:v>98</x:v>
      </x:c>
      <x:c r="G74" s="98" t="n">
        <x:v>96</x:v>
      </x:c>
      <x:c r="H74" s="98" t="n">
        <x:v>97</x:v>
      </x:c>
      <x:c r="I74" s="98" t="n">
        <x:f>ROUND(AVERAGE(D74:H74),0)</x:f>
        <x:v>97</x:v>
      </x:c>
      <x:c r="J74" s="97" t="str">
        <x:v>Sehr gute bis praktisch muttersprachliche Übersetzungsqualität; keine relevanten Einzelprobleme im geprüften Paket.</x:v>
      </x:c>
    </x:row>
    <x:row r="75" ht="21.600000381469727" hidden="0" customHeight="1">
      <x:c r="A75" s="99" t="str">
        <x:v>Spanisch (es-ES)</x:v>
      </x:c>
      <x:c r="B75" s="99" t="str">
        <x:v>P10</x:v>
      </x:c>
      <x:c r="C75" s="99" t="str">
        <x:v>Universelle Installationsanleitung</x:v>
      </x:c>
      <x:c r="D75" s="100" t="n">
        <x:v>98</x:v>
      </x:c>
      <x:c r="E75" s="100" t="n">
        <x:v>96</x:v>
      </x:c>
      <x:c r="F75" s="100" t="n">
        <x:v>98</x:v>
      </x:c>
      <x:c r="G75" s="100" t="n">
        <x:v>96</x:v>
      </x:c>
      <x:c r="H75" s="100" t="n">
        <x:v>97</x:v>
      </x:c>
      <x:c r="I75" s="100" t="n">
        <x:f>ROUND(AVERAGE(D75:H75),0)</x:f>
        <x:v>97</x:v>
      </x:c>
      <x:c r="J75" s="99" t="str">
        <x:v>Sehr gute bis praktisch muttersprachliche Übersetzungsqualität; keine relevanten Einzelprobleme im geprüften Paket.</x:v>
      </x:c>
    </x:row>
    <x:row r="76" ht="15" hidden="0" customHeight="1">
      <x:c r="A76" s="97" t="str">
        <x:v>Niederländisch (nl-NL)</x:v>
      </x:c>
      <x:c r="B76" s="97" t="str">
        <x:v>P10</x:v>
      </x:c>
      <x:c r="C76" s="97" t="str">
        <x:v>Universelle Installationsanleitung</x:v>
      </x:c>
      <x:c r="D76" s="98" t="n">
        <x:v>91</x:v>
      </x:c>
      <x:c r="E76" s="98" t="n">
        <x:v>92</x:v>
      </x:c>
      <x:c r="F76" s="98" t="n">
        <x:v>96</x:v>
      </x:c>
      <x:c r="G76" s="98" t="n">
        <x:v>88</x:v>
      </x:c>
      <x:c r="H76" s="98" t="n">
        <x:v>94</x:v>
      </x:c>
      <x:c r="I76" s="98" t="n">
        <x:f>ROUND(AVERAGE(D76:H76),0)</x:f>
        <x:v>92</x:v>
      </x:c>
      <x:c r="J76" s="97" t="str">
        <x:v>Insgesamt gut; ein technischer Warnhinweis verwischt Heckstrahlruder/„Achterschiff“.</x:v>
      </x:c>
    </x:row>
    <x:row r="77" ht="21.600000381469727" hidden="0" customHeight="1">
      <x:c r="A77" s="99" t="str">
        <x:v>Norwegisch Bokmål (nb-NO)</x:v>
      </x:c>
      <x:c r="B77" s="99" t="str">
        <x:v>P10</x:v>
      </x:c>
      <x:c r="C77" s="99" t="str">
        <x:v>Universelle Installationsanleitung</x:v>
      </x:c>
      <x:c r="D77" s="100" t="n">
        <x:v>98</x:v>
      </x:c>
      <x:c r="E77" s="100" t="n">
        <x:v>96</x:v>
      </x:c>
      <x:c r="F77" s="100" t="n">
        <x:v>98</x:v>
      </x:c>
      <x:c r="G77" s="100" t="n">
        <x:v>96</x:v>
      </x:c>
      <x:c r="H77" s="100" t="n">
        <x:v>97</x:v>
      </x:c>
      <x:c r="I77" s="100" t="n">
        <x:f>ROUND(AVERAGE(D77:H77),0)</x:f>
        <x:v>97</x:v>
      </x:c>
      <x:c r="J77" s="99" t="str">
        <x:v>Sehr gute bis praktisch muttersprachliche Übersetzungsqualität; keine relevanten Einzelprobleme im geprüften Paket.</x:v>
      </x:c>
    </x:row>
    <x:row r="78" ht="21.600000381469727" hidden="0" customHeight="1">
      <x:c r="A78" s="97" t="str">
        <x:v>Schwedisch (sv-SE)</x:v>
      </x:c>
      <x:c r="B78" s="97" t="str">
        <x:v>P10</x:v>
      </x:c>
      <x:c r="C78" s="97" t="str">
        <x:v>Universelle Installationsanleitung</x:v>
      </x:c>
      <x:c r="D78" s="98" t="n">
        <x:v>98</x:v>
      </x:c>
      <x:c r="E78" s="98" t="n">
        <x:v>96</x:v>
      </x:c>
      <x:c r="F78" s="98" t="n">
        <x:v>98</x:v>
      </x:c>
      <x:c r="G78" s="98" t="n">
        <x:v>96</x:v>
      </x:c>
      <x:c r="H78" s="98" t="n">
        <x:v>97</x:v>
      </x:c>
      <x:c r="I78" s="98" t="n">
        <x:f>ROUND(AVERAGE(D78:H78),0)</x:f>
        <x:v>97</x:v>
      </x:c>
      <x:c r="J78" s="97" t="str">
        <x:v>Sehr gute bis praktisch muttersprachliche Übersetzungsqualität; keine relevanten Einzelprobleme im geprüften Paket.</x:v>
      </x:c>
    </x:row>
    <x:row r="79" ht="21.600000381469727" hidden="0" customHeight="1">
      <x:c r="A79" s="99" t="str">
        <x:v>Englisch (en)</x:v>
      </x:c>
      <x:c r="B79" s="99" t="str">
        <x:v>P11</x:v>
      </x:c>
      <x:c r="C79" s="99" t="str">
        <x:v>FAQ-Shell</x:v>
      </x:c>
      <x:c r="D79" s="100" t="n">
        <x:v>99</x:v>
      </x:c>
      <x:c r="E79" s="100" t="n">
        <x:v>98</x:v>
      </x:c>
      <x:c r="F79" s="100" t="n">
        <x:v>99</x:v>
      </x:c>
      <x:c r="G79" s="100" t="n">
        <x:v>98</x:v>
      </x:c>
      <x:c r="H79" s="100" t="n">
        <x:v>98</x:v>
      </x:c>
      <x:c r="I79" s="100" t="n">
        <x:f>ROUND(AVERAGE(D79:H79),0)</x:f>
        <x:v>98</x:v>
      </x:c>
      <x:c r="J79" s="99" t="str">
        <x:v>Sehr gute bis praktisch muttersprachliche Übersetzungsqualität; keine relevanten Einzelprobleme im geprüften Paket.</x:v>
      </x:c>
    </x:row>
    <x:row r="80" ht="21.600000381469727" hidden="0" customHeight="1">
      <x:c r="A80" s="97" t="str">
        <x:v>Französisch (fr-FR)</x:v>
      </x:c>
      <x:c r="B80" s="97" t="str">
        <x:v>P11</x:v>
      </x:c>
      <x:c r="C80" s="97" t="str">
        <x:v>FAQ-Shell</x:v>
      </x:c>
      <x:c r="D80" s="98" t="n">
        <x:v>99</x:v>
      </x:c>
      <x:c r="E80" s="98" t="n">
        <x:v>98</x:v>
      </x:c>
      <x:c r="F80" s="98" t="n">
        <x:v>99</x:v>
      </x:c>
      <x:c r="G80" s="98" t="n">
        <x:v>98</x:v>
      </x:c>
      <x:c r="H80" s="98" t="n">
        <x:v>98</x:v>
      </x:c>
      <x:c r="I80" s="98" t="n">
        <x:f>ROUND(AVERAGE(D80:H80),0)</x:f>
        <x:v>98</x:v>
      </x:c>
      <x:c r="J80" s="97" t="str">
        <x:v>Sehr gute bis praktisch muttersprachliche Übersetzungsqualität; keine relevanten Einzelprobleme im geprüften Paket.</x:v>
      </x:c>
    </x:row>
    <x:row r="81" ht="21.600000381469727" hidden="0" customHeight="1">
      <x:c r="A81" s="99" t="str">
        <x:v>Dänisch (da-DK)</x:v>
      </x:c>
      <x:c r="B81" s="99" t="str">
        <x:v>P11</x:v>
      </x:c>
      <x:c r="C81" s="99" t="str">
        <x:v>FAQ-Shell</x:v>
      </x:c>
      <x:c r="D81" s="100" t="n">
        <x:v>99</x:v>
      </x:c>
      <x:c r="E81" s="100" t="n">
        <x:v>98</x:v>
      </x:c>
      <x:c r="F81" s="100" t="n">
        <x:v>99</x:v>
      </x:c>
      <x:c r="G81" s="100" t="n">
        <x:v>98</x:v>
      </x:c>
      <x:c r="H81" s="100" t="n">
        <x:v>98</x:v>
      </x:c>
      <x:c r="I81" s="100" t="n">
        <x:f>ROUND(AVERAGE(D81:H81),0)</x:f>
        <x:v>98</x:v>
      </x:c>
      <x:c r="J81" s="99" t="str">
        <x:v>Sehr gute bis praktisch muttersprachliche Übersetzungsqualität; keine relevanten Einzelprobleme im geprüften Paket.</x:v>
      </x:c>
    </x:row>
    <x:row r="82" ht="21.600000381469727" hidden="0" customHeight="1">
      <x:c r="A82" s="97" t="str">
        <x:v>Spanisch (es-ES)</x:v>
      </x:c>
      <x:c r="B82" s="97" t="str">
        <x:v>P11</x:v>
      </x:c>
      <x:c r="C82" s="97" t="str">
        <x:v>FAQ-Shell</x:v>
      </x:c>
      <x:c r="D82" s="98" t="n">
        <x:v>99</x:v>
      </x:c>
      <x:c r="E82" s="98" t="n">
        <x:v>98</x:v>
      </x:c>
      <x:c r="F82" s="98" t="n">
        <x:v>99</x:v>
      </x:c>
      <x:c r="G82" s="98" t="n">
        <x:v>98</x:v>
      </x:c>
      <x:c r="H82" s="98" t="n">
        <x:v>98</x:v>
      </x:c>
      <x:c r="I82" s="98" t="n">
        <x:f>ROUND(AVERAGE(D82:H82),0)</x:f>
        <x:v>98</x:v>
      </x:c>
      <x:c r="J82" s="97" t="str">
        <x:v>Sehr gute bis praktisch muttersprachliche Übersetzungsqualität; keine relevanten Einzelprobleme im geprüften Paket.</x:v>
      </x:c>
    </x:row>
    <x:row r="83" ht="21.600000381469727" hidden="0" customHeight="1">
      <x:c r="A83" s="99" t="str">
        <x:v>Niederländisch (nl-NL)</x:v>
      </x:c>
      <x:c r="B83" s="99" t="str">
        <x:v>P11</x:v>
      </x:c>
      <x:c r="C83" s="99" t="str">
        <x:v>FAQ-Shell</x:v>
      </x:c>
      <x:c r="D83" s="100" t="n">
        <x:v>99</x:v>
      </x:c>
      <x:c r="E83" s="100" t="n">
        <x:v>98</x:v>
      </x:c>
      <x:c r="F83" s="100" t="n">
        <x:v>99</x:v>
      </x:c>
      <x:c r="G83" s="100" t="n">
        <x:v>98</x:v>
      </x:c>
      <x:c r="H83" s="100" t="n">
        <x:v>98</x:v>
      </x:c>
      <x:c r="I83" s="100" t="n">
        <x:f>ROUND(AVERAGE(D83:H83),0)</x:f>
        <x:v>98</x:v>
      </x:c>
      <x:c r="J83" s="99" t="str">
        <x:v>Sehr gute bis praktisch muttersprachliche Übersetzungsqualität; keine relevanten Einzelprobleme im geprüften Paket.</x:v>
      </x:c>
    </x:row>
    <x:row r="84" ht="21.600000381469727" hidden="0" customHeight="1">
      <x:c r="A84" s="97" t="str">
        <x:v>Norwegisch Bokmål (nb-NO)</x:v>
      </x:c>
      <x:c r="B84" s="97" t="str">
        <x:v>P11</x:v>
      </x:c>
      <x:c r="C84" s="97" t="str">
        <x:v>FAQ-Shell</x:v>
      </x:c>
      <x:c r="D84" s="98" t="n">
        <x:v>99</x:v>
      </x:c>
      <x:c r="E84" s="98" t="n">
        <x:v>98</x:v>
      </x:c>
      <x:c r="F84" s="98" t="n">
        <x:v>99</x:v>
      </x:c>
      <x:c r="G84" s="98" t="n">
        <x:v>98</x:v>
      </x:c>
      <x:c r="H84" s="98" t="n">
        <x:v>98</x:v>
      </x:c>
      <x:c r="I84" s="98" t="n">
        <x:f>ROUND(AVERAGE(D84:H84),0)</x:f>
        <x:v>98</x:v>
      </x:c>
      <x:c r="J84" s="97" t="str">
        <x:v>Sehr gute bis praktisch muttersprachliche Übersetzungsqualität; keine relevanten Einzelprobleme im geprüften Paket.</x:v>
      </x:c>
    </x:row>
    <x:row r="85" ht="21.600000381469727" hidden="0" customHeight="1">
      <x:c r="A85" s="99" t="str">
        <x:v>Schwedisch (sv-SE)</x:v>
      </x:c>
      <x:c r="B85" s="99" t="str">
        <x:v>P11</x:v>
      </x:c>
      <x:c r="C85" s="99" t="str">
        <x:v>FAQ-Shell</x:v>
      </x:c>
      <x:c r="D85" s="100" t="n">
        <x:v>99</x:v>
      </x:c>
      <x:c r="E85" s="100" t="n">
        <x:v>98</x:v>
      </x:c>
      <x:c r="F85" s="100" t="n">
        <x:v>99</x:v>
      </x:c>
      <x:c r="G85" s="100" t="n">
        <x:v>98</x:v>
      </x:c>
      <x:c r="H85" s="100" t="n">
        <x:v>98</x:v>
      </x:c>
      <x:c r="I85" s="100" t="n">
        <x:f>ROUND(AVERAGE(D85:H85),0)</x:f>
        <x:v>98</x:v>
      </x:c>
      <x:c r="J85" s="99" t="str">
        <x:v>Sehr gute bis praktisch muttersprachliche Übersetzungsqualität; keine relevanten Einzelprobleme im geprüften Paket.</x:v>
      </x:c>
    </x:row>
    <x:row r="86" ht="21.600000381469727" hidden="0" customHeight="1">
      <x:c r="A86" s="97" t="str">
        <x:v>Englisch (en)</x:v>
      </x:c>
      <x:c r="B86" s="97" t="str">
        <x:v>P12</x:v>
      </x:c>
      <x:c r="C86" s="97" t="str">
        <x:v>FAQ-Inhalte (11 FAQs)</x:v>
      </x:c>
      <x:c r="D86" s="98" t="n">
        <x:v>98</x:v>
      </x:c>
      <x:c r="E86" s="98" t="n">
        <x:v>97</x:v>
      </x:c>
      <x:c r="F86" s="98" t="n">
        <x:v>98</x:v>
      </x:c>
      <x:c r="G86" s="98" t="n">
        <x:v>97</x:v>
      </x:c>
      <x:c r="H86" s="98" t="n">
        <x:v>97</x:v>
      </x:c>
      <x:c r="I86" s="98" t="n">
        <x:f>ROUND(AVERAGE(D86:H86),0)</x:f>
        <x:v>97</x:v>
      </x:c>
      <x:c r="J86" s="97" t="str">
        <x:v>Sehr gute bis praktisch muttersprachliche Übersetzungsqualität; keine relevanten Einzelprobleme im geprüften Paket.</x:v>
      </x:c>
    </x:row>
    <x:row r="87" ht="21.600000381469727" hidden="0" customHeight="1">
      <x:c r="A87" s="99" t="str">
        <x:v>Französisch (fr-FR)</x:v>
      </x:c>
      <x:c r="B87" s="99" t="str">
        <x:v>P12</x:v>
      </x:c>
      <x:c r="C87" s="99" t="str">
        <x:v>FAQ-Inhalte (11 FAQs)</x:v>
      </x:c>
      <x:c r="D87" s="100" t="n">
        <x:v>97</x:v>
      </x:c>
      <x:c r="E87" s="100" t="n">
        <x:v>96</x:v>
      </x:c>
      <x:c r="F87" s="100" t="n">
        <x:v>97</x:v>
      </x:c>
      <x:c r="G87" s="100" t="n">
        <x:v>96</x:v>
      </x:c>
      <x:c r="H87" s="100" t="n">
        <x:v>96</x:v>
      </x:c>
      <x:c r="I87" s="100" t="n">
        <x:f>ROUND(AVERAGE(D87:H87),0)</x:f>
        <x:v>96</x:v>
      </x:c>
      <x:c r="J87" s="99" t="str">
        <x:v>Sehr gute bis praktisch muttersprachliche Übersetzungsqualität; keine relevanten Einzelprobleme im geprüften Paket.</x:v>
      </x:c>
    </x:row>
    <x:row r="88" ht="21.600000381469727" hidden="0" customHeight="1">
      <x:c r="A88" s="97" t="str">
        <x:v>Dänisch (da-DK)</x:v>
      </x:c>
      <x:c r="B88" s="97" t="str">
        <x:v>P12</x:v>
      </x:c>
      <x:c r="C88" s="97" t="str">
        <x:v>FAQ-Inhalte (11 FAQs)</x:v>
      </x:c>
      <x:c r="D88" s="98" t="n">
        <x:v>98</x:v>
      </x:c>
      <x:c r="E88" s="98" t="n">
        <x:v>97</x:v>
      </x:c>
      <x:c r="F88" s="98" t="n">
        <x:v>98</x:v>
      </x:c>
      <x:c r="G88" s="98" t="n">
        <x:v>97</x:v>
      </x:c>
      <x:c r="H88" s="98" t="n">
        <x:v>97</x:v>
      </x:c>
      <x:c r="I88" s="98" t="n">
        <x:f>ROUND(AVERAGE(D88:H88),0)</x:f>
        <x:v>97</x:v>
      </x:c>
      <x:c r="J88" s="97" t="str">
        <x:v>Sehr gute bis praktisch muttersprachliche Übersetzungsqualität; keine relevanten Einzelprobleme im geprüften Paket.</x:v>
      </x:c>
    </x:row>
    <x:row r="89" ht="15" hidden="0" customHeight="1">
      <x:c r="A89" s="99" t="str">
        <x:v>Spanisch (es-ES)</x:v>
      </x:c>
      <x:c r="B89" s="99" t="str">
        <x:v>P12</x:v>
      </x:c>
      <x:c r="C89" s="99" t="str">
        <x:v>FAQ-Inhalte (11 FAQs)</x:v>
      </x:c>
      <x:c r="D89" s="100" t="n">
        <x:v>97</x:v>
      </x:c>
      <x:c r="E89" s="100" t="n">
        <x:v>91</x:v>
      </x:c>
      <x:c r="F89" s="100" t="n">
        <x:v>98</x:v>
      </x:c>
      <x:c r="G89" s="100" t="n">
        <x:v>94</x:v>
      </x:c>
      <x:c r="H89" s="100" t="n">
        <x:v>96</x:v>
      </x:c>
      <x:c r="I89" s="100" t="n">
        <x:f>ROUND(AVERAGE(D89:H89),0)</x:f>
        <x:v>95</x:v>
      </x:c>
      <x:c r="J89" s="99" t="str">
        <x:v>Inhaltlich korrekt; FAQ zur Nachrüstung klingt unnötig quellsprachennah.</x:v>
      </x:c>
    </x:row>
    <x:row r="90" ht="21.600000381469727" hidden="0" customHeight="1">
      <x:c r="A90" s="97" t="str">
        <x:v>Niederländisch (nl-NL)</x:v>
      </x:c>
      <x:c r="B90" s="97" t="str">
        <x:v>P12</x:v>
      </x:c>
      <x:c r="C90" s="97" t="str">
        <x:v>FAQ-Inhalte (11 FAQs)</x:v>
      </x:c>
      <x:c r="D90" s="98" t="n">
        <x:v>98</x:v>
      </x:c>
      <x:c r="E90" s="98" t="n">
        <x:v>97</x:v>
      </x:c>
      <x:c r="F90" s="98" t="n">
        <x:v>98</x:v>
      </x:c>
      <x:c r="G90" s="98" t="n">
        <x:v>97</x:v>
      </x:c>
      <x:c r="H90" s="98" t="n">
        <x:v>97</x:v>
      </x:c>
      <x:c r="I90" s="98" t="n">
        <x:f>ROUND(AVERAGE(D90:H90),0)</x:f>
        <x:v>97</x:v>
      </x:c>
      <x:c r="J90" s="97" t="str">
        <x:v>Sehr gute bis praktisch muttersprachliche Übersetzungsqualität; keine relevanten Einzelprobleme im geprüften Paket.</x:v>
      </x:c>
    </x:row>
    <x:row r="91" ht="21.600000381469727" hidden="0" customHeight="1">
      <x:c r="A91" s="99" t="str">
        <x:v>Norwegisch Bokmål (nb-NO)</x:v>
      </x:c>
      <x:c r="B91" s="99" t="str">
        <x:v>P12</x:v>
      </x:c>
      <x:c r="C91" s="99" t="str">
        <x:v>FAQ-Inhalte (11 FAQs)</x:v>
      </x:c>
      <x:c r="D91" s="100" t="n">
        <x:v>98</x:v>
      </x:c>
      <x:c r="E91" s="100" t="n">
        <x:v>97</x:v>
      </x:c>
      <x:c r="F91" s="100" t="n">
        <x:v>98</x:v>
      </x:c>
      <x:c r="G91" s="100" t="n">
        <x:v>97</x:v>
      </x:c>
      <x:c r="H91" s="100" t="n">
        <x:v>97</x:v>
      </x:c>
      <x:c r="I91" s="100" t="n">
        <x:f>ROUND(AVERAGE(D91:H91),0)</x:f>
        <x:v>97</x:v>
      </x:c>
      <x:c r="J91" s="99" t="str">
        <x:v>Sehr gute bis praktisch muttersprachliche Übersetzungsqualität; keine relevanten Einzelprobleme im geprüften Paket.</x:v>
      </x:c>
    </x:row>
    <x:row r="92" ht="21.600000381469727" hidden="0" customHeight="1">
      <x:c r="A92" s="97" t="str">
        <x:v>Schwedisch (sv-SE)</x:v>
      </x:c>
      <x:c r="B92" s="97" t="str">
        <x:v>P12</x:v>
      </x:c>
      <x:c r="C92" s="97" t="str">
        <x:v>FAQ-Inhalte (11 FAQs)</x:v>
      </x:c>
      <x:c r="D92" s="98" t="n">
        <x:v>98</x:v>
      </x:c>
      <x:c r="E92" s="98" t="n">
        <x:v>97</x:v>
      </x:c>
      <x:c r="F92" s="98" t="n">
        <x:v>98</x:v>
      </x:c>
      <x:c r="G92" s="98" t="n">
        <x:v>97</x:v>
      </x:c>
      <x:c r="H92" s="98" t="n">
        <x:v>97</x:v>
      </x:c>
      <x:c r="I92" s="98" t="n">
        <x:f>ROUND(AVERAGE(D92:H92),0)</x:f>
        <x:v>97</x:v>
      </x:c>
      <x:c r="J92" s="97" t="str">
        <x:v>Sehr gute bis praktisch muttersprachliche Übersetzungsqualität; keine relevanten Einzelprobleme im geprüften Paket.</x:v>
      </x:c>
    </x:row>
    <x:row r="93" ht="15" hidden="0" customHeight="1">
      <x:c r="A93" s="99" t="str">
        <x:v>Englisch (en)</x:v>
      </x:c>
      <x:c r="B93" s="99" t="str">
        <x:v>P13</x:v>
      </x:c>
      <x:c r="C93" s="99" t="str">
        <x:v>Händlersuche</x:v>
      </x:c>
      <x:c r="D93" s="100" t="n">
        <x:v>96</x:v>
      </x:c>
      <x:c r="E93" s="100" t="n">
        <x:v>95</x:v>
      </x:c>
      <x:c r="F93" s="100" t="n">
        <x:v>98</x:v>
      </x:c>
      <x:c r="G93" s="100" t="n">
        <x:v>96</x:v>
      </x:c>
      <x:c r="H93" s="100" t="n">
        <x:v>94</x:v>
      </x:c>
      <x:c r="I93" s="100" t="n">
        <x:f>ROUND(AVERAGE(D93:H93),0)</x:f>
        <x:v>96</x:v>
      </x:c>
      <x:c r="J93" s="99" t="str">
        <x:v>Ein aktives Kartenlabel („Dein Standort“) ist nicht als englische Zielversion verifiziert.</x:v>
      </x:c>
    </x:row>
    <x:row r="94" ht="21.600000381469727" hidden="0" customHeight="1">
      <x:c r="A94" s="97" t="str">
        <x:v>Französisch (fr-FR)</x:v>
      </x:c>
      <x:c r="B94" s="97" t="str">
        <x:v>P13</x:v>
      </x:c>
      <x:c r="C94" s="97" t="str">
        <x:v>Händlersuche</x:v>
      </x:c>
      <x:c r="D94" s="98" t="n">
        <x:v>96</x:v>
      </x:c>
      <x:c r="E94" s="98" t="n">
        <x:v>95</x:v>
      </x:c>
      <x:c r="F94" s="98" t="n">
        <x:v>98</x:v>
      </x:c>
      <x:c r="G94" s="98" t="n">
        <x:v>96</x:v>
      </x:c>
      <x:c r="H94" s="98" t="n">
        <x:v>94</x:v>
      </x:c>
      <x:c r="I94" s="98" t="n">
        <x:f>ROUND(AVERAGE(D94:H94),0)</x:f>
        <x:v>96</x:v>
      </x:c>
      <x:c r="J94" s="97" t="str">
        <x:v>Ein aktives Kartenlabel („Dein Standort“) ist nicht als französische Zielversion verifiziert.</x:v>
      </x:c>
    </x:row>
    <x:row r="95" ht="21.600000381469727" hidden="0" customHeight="1">
      <x:c r="A95" s="99" t="str">
        <x:v>Dänisch (da-DK)</x:v>
      </x:c>
      <x:c r="B95" s="99" t="str">
        <x:v>P13</x:v>
      </x:c>
      <x:c r="C95" s="99" t="str">
        <x:v>Händlersuche</x:v>
      </x:c>
      <x:c r="D95" s="100" t="n">
        <x:v>98</x:v>
      </x:c>
      <x:c r="E95" s="100" t="n">
        <x:v>97</x:v>
      </x:c>
      <x:c r="F95" s="100" t="n">
        <x:v>98</x:v>
      </x:c>
      <x:c r="G95" s="100" t="n">
        <x:v>97</x:v>
      </x:c>
      <x:c r="H95" s="100" t="n">
        <x:v>97</x:v>
      </x:c>
      <x:c r="I95" s="100" t="n">
        <x:f>ROUND(AVERAGE(D95:H95),0)</x:f>
        <x:v>97</x:v>
      </x:c>
      <x:c r="J95" s="99" t="str">
        <x:v>Sehr gute bis praktisch muttersprachliche Übersetzungsqualität; keine relevanten Einzelprobleme im geprüften Paket.</x:v>
      </x:c>
    </x:row>
    <x:row r="96" ht="21.600000381469727" hidden="0" customHeight="1">
      <x:c r="A96" s="97" t="str">
        <x:v>Spanisch (es-ES)</x:v>
      </x:c>
      <x:c r="B96" s="97" t="str">
        <x:v>P13</x:v>
      </x:c>
      <x:c r="C96" s="97" t="str">
        <x:v>Händlersuche</x:v>
      </x:c>
      <x:c r="D96" s="98" t="n">
        <x:v>98</x:v>
      </x:c>
      <x:c r="E96" s="98" t="n">
        <x:v>97</x:v>
      </x:c>
      <x:c r="F96" s="98" t="n">
        <x:v>98</x:v>
      </x:c>
      <x:c r="G96" s="98" t="n">
        <x:v>97</x:v>
      </x:c>
      <x:c r="H96" s="98" t="n">
        <x:v>97</x:v>
      </x:c>
      <x:c r="I96" s="98" t="n">
        <x:f>ROUND(AVERAGE(D96:H96),0)</x:f>
        <x:v>97</x:v>
      </x:c>
      <x:c r="J96" s="97" t="str">
        <x:v>Sehr gute bis praktisch muttersprachliche Übersetzungsqualität; keine relevanten Einzelprobleme im geprüften Paket.</x:v>
      </x:c>
    </x:row>
    <x:row r="97" ht="21.600000381469727" hidden="0" customHeight="1">
      <x:c r="A97" s="99" t="str">
        <x:v>Niederländisch (nl-NL)</x:v>
      </x:c>
      <x:c r="B97" s="99" t="str">
        <x:v>P13</x:v>
      </x:c>
      <x:c r="C97" s="99" t="str">
        <x:v>Händlersuche</x:v>
      </x:c>
      <x:c r="D97" s="100" t="n">
        <x:v>98</x:v>
      </x:c>
      <x:c r="E97" s="100" t="n">
        <x:v>97</x:v>
      </x:c>
      <x:c r="F97" s="100" t="n">
        <x:v>98</x:v>
      </x:c>
      <x:c r="G97" s="100" t="n">
        <x:v>97</x:v>
      </x:c>
      <x:c r="H97" s="100" t="n">
        <x:v>97</x:v>
      </x:c>
      <x:c r="I97" s="100" t="n">
        <x:f>ROUND(AVERAGE(D97:H97),0)</x:f>
        <x:v>97</x:v>
      </x:c>
      <x:c r="J97" s="99" t="str">
        <x:v>Sehr gute bis praktisch muttersprachliche Übersetzungsqualität; keine relevanten Einzelprobleme im geprüften Paket.</x:v>
      </x:c>
    </x:row>
    <x:row r="98" ht="21.600000381469727" hidden="0" customHeight="1">
      <x:c r="A98" s="97" t="str">
        <x:v>Norwegisch Bokmål (nb-NO)</x:v>
      </x:c>
      <x:c r="B98" s="97" t="str">
        <x:v>P13</x:v>
      </x:c>
      <x:c r="C98" s="97" t="str">
        <x:v>Händlersuche</x:v>
      </x:c>
      <x:c r="D98" s="98" t="n">
        <x:v>98</x:v>
      </x:c>
      <x:c r="E98" s="98" t="n">
        <x:v>97</x:v>
      </x:c>
      <x:c r="F98" s="98" t="n">
        <x:v>98</x:v>
      </x:c>
      <x:c r="G98" s="98" t="n">
        <x:v>97</x:v>
      </x:c>
      <x:c r="H98" s="98" t="n">
        <x:v>97</x:v>
      </x:c>
      <x:c r="I98" s="98" t="n">
        <x:f>ROUND(AVERAGE(D98:H98),0)</x:f>
        <x:v>97</x:v>
      </x:c>
      <x:c r="J98" s="97" t="str">
        <x:v>Sehr gute bis praktisch muttersprachliche Übersetzungsqualität; keine relevanten Einzelprobleme im geprüften Paket.</x:v>
      </x:c>
    </x:row>
    <x:row r="99" ht="21.600000381469727" hidden="0" customHeight="1">
      <x:c r="A99" s="99" t="str">
        <x:v>Schwedisch (sv-SE)</x:v>
      </x:c>
      <x:c r="B99" s="99" t="str">
        <x:v>P13</x:v>
      </x:c>
      <x:c r="C99" s="99" t="str">
        <x:v>Händlersuche</x:v>
      </x:c>
      <x:c r="D99" s="100" t="n">
        <x:v>98</x:v>
      </x:c>
      <x:c r="E99" s="100" t="n">
        <x:v>97</x:v>
      </x:c>
      <x:c r="F99" s="100" t="n">
        <x:v>98</x:v>
      </x:c>
      <x:c r="G99" s="100" t="n">
        <x:v>97</x:v>
      </x:c>
      <x:c r="H99" s="100" t="n">
        <x:v>97</x:v>
      </x:c>
      <x:c r="I99" s="100" t="n">
        <x:f>ROUND(AVERAGE(D99:H99),0)</x:f>
        <x:v>97</x:v>
      </x:c>
      <x:c r="J99" s="99" t="str">
        <x:v>Sehr gute bis praktisch muttersprachliche Übersetzungsqualität; keine relevanten Einzelprobleme im geprüften Paket.</x:v>
      </x:c>
    </x:row>
    <x:row r="100" ht="21.600000381469727" hidden="0" customHeight="1">
      <x:c r="A100" s="97" t="str">
        <x:v>Englisch (en)</x:v>
      </x:c>
      <x:c r="B100" s="97" t="str">
        <x:v>P14</x:v>
      </x:c>
      <x:c r="C100" s="97" t="str">
        <x:v>404-Seite</x:v>
      </x:c>
      <x:c r="D100" s="98" t="n">
        <x:v>99</x:v>
      </x:c>
      <x:c r="E100" s="98" t="n">
        <x:v>98</x:v>
      </x:c>
      <x:c r="F100" s="98" t="n">
        <x:v>99</x:v>
      </x:c>
      <x:c r="G100" s="98" t="n">
        <x:v>98</x:v>
      </x:c>
      <x:c r="H100" s="98" t="n">
        <x:v>98</x:v>
      </x:c>
      <x:c r="I100" s="98" t="n">
        <x:f>ROUND(AVERAGE(D100:H100),0)</x:f>
        <x:v>98</x:v>
      </x:c>
      <x:c r="J100" s="97" t="str">
        <x:v>Sehr gute bis praktisch muttersprachliche Übersetzungsqualität; keine relevanten Einzelprobleme im geprüften Paket.</x:v>
      </x:c>
    </x:row>
    <x:row r="101" ht="21.600000381469727" hidden="0" customHeight="1">
      <x:c r="A101" s="99" t="str">
        <x:v>Französisch (fr-FR)</x:v>
      </x:c>
      <x:c r="B101" s="99" t="str">
        <x:v>P14</x:v>
      </x:c>
      <x:c r="C101" s="99" t="str">
        <x:v>404-Seite</x:v>
      </x:c>
      <x:c r="D101" s="100" t="n">
        <x:v>99</x:v>
      </x:c>
      <x:c r="E101" s="100" t="n">
        <x:v>98</x:v>
      </x:c>
      <x:c r="F101" s="100" t="n">
        <x:v>99</x:v>
      </x:c>
      <x:c r="G101" s="100" t="n">
        <x:v>98</x:v>
      </x:c>
      <x:c r="H101" s="100" t="n">
        <x:v>98</x:v>
      </x:c>
      <x:c r="I101" s="100" t="n">
        <x:f>ROUND(AVERAGE(D101:H101),0)</x:f>
        <x:v>98</x:v>
      </x:c>
      <x:c r="J101" s="99" t="str">
        <x:v>Sehr gute bis praktisch muttersprachliche Übersetzungsqualität; keine relevanten Einzelprobleme im geprüften Paket.</x:v>
      </x:c>
    </x:row>
    <x:row r="102" ht="21.600000381469727" hidden="0" customHeight="1">
      <x:c r="A102" s="97" t="str">
        <x:v>Dänisch (da-DK)</x:v>
      </x:c>
      <x:c r="B102" s="97" t="str">
        <x:v>P14</x:v>
      </x:c>
      <x:c r="C102" s="97" t="str">
        <x:v>404-Seite</x:v>
      </x:c>
      <x:c r="D102" s="98" t="n">
        <x:v>99</x:v>
      </x:c>
      <x:c r="E102" s="98" t="n">
        <x:v>98</x:v>
      </x:c>
      <x:c r="F102" s="98" t="n">
        <x:v>99</x:v>
      </x:c>
      <x:c r="G102" s="98" t="n">
        <x:v>98</x:v>
      </x:c>
      <x:c r="H102" s="98" t="n">
        <x:v>98</x:v>
      </x:c>
      <x:c r="I102" s="98" t="n">
        <x:f>ROUND(AVERAGE(D102:H102),0)</x:f>
        <x:v>98</x:v>
      </x:c>
      <x:c r="J102" s="97" t="str">
        <x:v>Sehr gute bis praktisch muttersprachliche Übersetzungsqualität; keine relevanten Einzelprobleme im geprüften Paket.</x:v>
      </x:c>
    </x:row>
    <x:row r="103" ht="21.600000381469727" hidden="0" customHeight="1">
      <x:c r="A103" s="99" t="str">
        <x:v>Spanisch (es-ES)</x:v>
      </x:c>
      <x:c r="B103" s="99" t="str">
        <x:v>P14</x:v>
      </x:c>
      <x:c r="C103" s="99" t="str">
        <x:v>404-Seite</x:v>
      </x:c>
      <x:c r="D103" s="100" t="n">
        <x:v>99</x:v>
      </x:c>
      <x:c r="E103" s="100" t="n">
        <x:v>98</x:v>
      </x:c>
      <x:c r="F103" s="100" t="n">
        <x:v>99</x:v>
      </x:c>
      <x:c r="G103" s="100" t="n">
        <x:v>98</x:v>
      </x:c>
      <x:c r="H103" s="100" t="n">
        <x:v>98</x:v>
      </x:c>
      <x:c r="I103" s="100" t="n">
        <x:f>ROUND(AVERAGE(D103:H103),0)</x:f>
        <x:v>98</x:v>
      </x:c>
      <x:c r="J103" s="99" t="str">
        <x:v>Sehr gute bis praktisch muttersprachliche Übersetzungsqualität; keine relevanten Einzelprobleme im geprüften Paket.</x:v>
      </x:c>
    </x:row>
    <x:row r="104" ht="21.600000381469727" hidden="0" customHeight="1">
      <x:c r="A104" s="97" t="str">
        <x:v>Niederländisch (nl-NL)</x:v>
      </x:c>
      <x:c r="B104" s="97" t="str">
        <x:v>P14</x:v>
      </x:c>
      <x:c r="C104" s="97" t="str">
        <x:v>404-Seite</x:v>
      </x:c>
      <x:c r="D104" s="98" t="n">
        <x:v>99</x:v>
      </x:c>
      <x:c r="E104" s="98" t="n">
        <x:v>98</x:v>
      </x:c>
      <x:c r="F104" s="98" t="n">
        <x:v>99</x:v>
      </x:c>
      <x:c r="G104" s="98" t="n">
        <x:v>98</x:v>
      </x:c>
      <x:c r="H104" s="98" t="n">
        <x:v>98</x:v>
      </x:c>
      <x:c r="I104" s="98" t="n">
        <x:f>ROUND(AVERAGE(D104:H104),0)</x:f>
        <x:v>98</x:v>
      </x:c>
      <x:c r="J104" s="97" t="str">
        <x:v>Sehr gute bis praktisch muttersprachliche Übersetzungsqualität; keine relevanten Einzelprobleme im geprüften Paket.</x:v>
      </x:c>
    </x:row>
    <x:row r="105" ht="21.600000381469727" hidden="0" customHeight="1">
      <x:c r="A105" s="99" t="str">
        <x:v>Norwegisch Bokmål (nb-NO)</x:v>
      </x:c>
      <x:c r="B105" s="99" t="str">
        <x:v>P14</x:v>
      </x:c>
      <x:c r="C105" s="99" t="str">
        <x:v>404-Seite</x:v>
      </x:c>
      <x:c r="D105" s="100" t="n">
        <x:v>99</x:v>
      </x:c>
      <x:c r="E105" s="100" t="n">
        <x:v>98</x:v>
      </x:c>
      <x:c r="F105" s="100" t="n">
        <x:v>99</x:v>
      </x:c>
      <x:c r="G105" s="100" t="n">
        <x:v>98</x:v>
      </x:c>
      <x:c r="H105" s="100" t="n">
        <x:v>98</x:v>
      </x:c>
      <x:c r="I105" s="100" t="n">
        <x:f>ROUND(AVERAGE(D105:H105),0)</x:f>
        <x:v>98</x:v>
      </x:c>
      <x:c r="J105" s="99" t="str">
        <x:v>Sehr gute bis praktisch muttersprachliche Übersetzungsqualität; keine relevanten Einzelprobleme im geprüften Paket.</x:v>
      </x:c>
    </x:row>
    <x:row r="106" ht="21.600000381469727" hidden="0" customHeight="1">
      <x:c r="A106" s="97" t="str">
        <x:v>Schwedisch (sv-SE)</x:v>
      </x:c>
      <x:c r="B106" s="97" t="str">
        <x:v>P14</x:v>
      </x:c>
      <x:c r="C106" s="97" t="str">
        <x:v>404-Seite</x:v>
      </x:c>
      <x:c r="D106" s="98" t="n">
        <x:v>99</x:v>
      </x:c>
      <x:c r="E106" s="98" t="n">
        <x:v>98</x:v>
      </x:c>
      <x:c r="F106" s="98" t="n">
        <x:v>99</x:v>
      </x:c>
      <x:c r="G106" s="98" t="n">
        <x:v>98</x:v>
      </x:c>
      <x:c r="H106" s="98" t="n">
        <x:v>98</x:v>
      </x:c>
      <x:c r="I106" s="98" t="n">
        <x:f>ROUND(AVERAGE(D106:H106),0)</x:f>
        <x:v>98</x:v>
      </x:c>
      <x:c r="J106" s="97" t="str">
        <x:v>Sehr gute bis praktisch muttersprachliche Übersetzungsqualität; keine relevanten Einzelprobleme im geprüften Paket.</x:v>
      </x:c>
    </x:row>
    <x:row r="107" ht="21.600000381469727" hidden="0" customHeight="1">
      <x:c r="A107" s="99" t="str">
        <x:v>Englisch (en)</x:v>
      </x:c>
      <x:c r="B107" s="99" t="str">
        <x:v>P15</x:v>
      </x:c>
      <x:c r="C107" s="99" t="str">
        <x:v>Cookie-Consent</x:v>
      </x:c>
      <x:c r="D107" s="100" t="n">
        <x:v>98</x:v>
      </x:c>
      <x:c r="E107" s="100" t="n">
        <x:v>97</x:v>
      </x:c>
      <x:c r="F107" s="100" t="n">
        <x:v>98</x:v>
      </x:c>
      <x:c r="G107" s="100" t="n">
        <x:v>97</x:v>
      </x:c>
      <x:c r="H107" s="100" t="n">
        <x:v>97</x:v>
      </x:c>
      <x:c r="I107" s="100" t="n">
        <x:f>ROUND(AVERAGE(D107:H107),0)</x:f>
        <x:v>97</x:v>
      </x:c>
      <x:c r="J107" s="99" t="str">
        <x:v>Sehr gute bis praktisch muttersprachliche Übersetzungsqualität; keine relevanten Einzelprobleme im geprüften Paket.</x:v>
      </x:c>
    </x:row>
    <x:row r="108" ht="21.600000381469727" hidden="0" customHeight="1">
      <x:c r="A108" s="97" t="str">
        <x:v>Französisch (fr-FR)</x:v>
      </x:c>
      <x:c r="B108" s="97" t="str">
        <x:v>P15</x:v>
      </x:c>
      <x:c r="C108" s="97" t="str">
        <x:v>Cookie-Consent</x:v>
      </x:c>
      <x:c r="D108" s="98" t="n">
        <x:v>98</x:v>
      </x:c>
      <x:c r="E108" s="98" t="n">
        <x:v>97</x:v>
      </x:c>
      <x:c r="F108" s="98" t="n">
        <x:v>98</x:v>
      </x:c>
      <x:c r="G108" s="98" t="n">
        <x:v>97</x:v>
      </x:c>
      <x:c r="H108" s="98" t="n">
        <x:v>97</x:v>
      </x:c>
      <x:c r="I108" s="98" t="n">
        <x:f>ROUND(AVERAGE(D108:H108),0)</x:f>
        <x:v>97</x:v>
      </x:c>
      <x:c r="J108" s="97" t="str">
        <x:v>Sehr gute bis praktisch muttersprachliche Übersetzungsqualität; keine relevanten Einzelprobleme im geprüften Paket.</x:v>
      </x:c>
    </x:row>
    <x:row r="109" ht="21.600000381469727" hidden="0" customHeight="1">
      <x:c r="A109" s="99" t="str">
        <x:v>Dänisch (da-DK)</x:v>
      </x:c>
      <x:c r="B109" s="99" t="str">
        <x:v>P15</x:v>
      </x:c>
      <x:c r="C109" s="99" t="str">
        <x:v>Cookie-Consent</x:v>
      </x:c>
      <x:c r="D109" s="100" t="n">
        <x:v>98</x:v>
      </x:c>
      <x:c r="E109" s="100" t="n">
        <x:v>97</x:v>
      </x:c>
      <x:c r="F109" s="100" t="n">
        <x:v>98</x:v>
      </x:c>
      <x:c r="G109" s="100" t="n">
        <x:v>97</x:v>
      </x:c>
      <x:c r="H109" s="100" t="n">
        <x:v>97</x:v>
      </x:c>
      <x:c r="I109" s="100" t="n">
        <x:f>ROUND(AVERAGE(D109:H109),0)</x:f>
        <x:v>97</x:v>
      </x:c>
      <x:c r="J109" s="99" t="str">
        <x:v>Sehr gute bis praktisch muttersprachliche Übersetzungsqualität; keine relevanten Einzelprobleme im geprüften Paket.</x:v>
      </x:c>
    </x:row>
    <x:row r="110" ht="21.600000381469727" hidden="0" customHeight="1">
      <x:c r="A110" s="97" t="str">
        <x:v>Spanisch (es-ES)</x:v>
      </x:c>
      <x:c r="B110" s="97" t="str">
        <x:v>P15</x:v>
      </x:c>
      <x:c r="C110" s="97" t="str">
        <x:v>Cookie-Consent</x:v>
      </x:c>
      <x:c r="D110" s="98" t="n">
        <x:v>98</x:v>
      </x:c>
      <x:c r="E110" s="98" t="n">
        <x:v>97</x:v>
      </x:c>
      <x:c r="F110" s="98" t="n">
        <x:v>98</x:v>
      </x:c>
      <x:c r="G110" s="98" t="n">
        <x:v>97</x:v>
      </x:c>
      <x:c r="H110" s="98" t="n">
        <x:v>97</x:v>
      </x:c>
      <x:c r="I110" s="98" t="n">
        <x:f>ROUND(AVERAGE(D110:H110),0)</x:f>
        <x:v>97</x:v>
      </x:c>
      <x:c r="J110" s="97" t="str">
        <x:v>Sehr gute bis praktisch muttersprachliche Übersetzungsqualität; keine relevanten Einzelprobleme im geprüften Paket.</x:v>
      </x:c>
    </x:row>
    <x:row r="111" ht="21.600000381469727" hidden="0" customHeight="1">
      <x:c r="A111" s="99" t="str">
        <x:v>Niederländisch (nl-NL)</x:v>
      </x:c>
      <x:c r="B111" s="99" t="str">
        <x:v>P15</x:v>
      </x:c>
      <x:c r="C111" s="99" t="str">
        <x:v>Cookie-Consent</x:v>
      </x:c>
      <x:c r="D111" s="100" t="n">
        <x:v>98</x:v>
      </x:c>
      <x:c r="E111" s="100" t="n">
        <x:v>97</x:v>
      </x:c>
      <x:c r="F111" s="100" t="n">
        <x:v>98</x:v>
      </x:c>
      <x:c r="G111" s="100" t="n">
        <x:v>97</x:v>
      </x:c>
      <x:c r="H111" s="100" t="n">
        <x:v>97</x:v>
      </x:c>
      <x:c r="I111" s="100" t="n">
        <x:f>ROUND(AVERAGE(D111:H111),0)</x:f>
        <x:v>97</x:v>
      </x:c>
      <x:c r="J111" s="99" t="str">
        <x:v>Sehr gute bis praktisch muttersprachliche Übersetzungsqualität; keine relevanten Einzelprobleme im geprüften Paket.</x:v>
      </x:c>
    </x:row>
    <x:row r="112" ht="21.600000381469727" hidden="0" customHeight="1">
      <x:c r="A112" s="97" t="str">
        <x:v>Norwegisch Bokmål (nb-NO)</x:v>
      </x:c>
      <x:c r="B112" s="97" t="str">
        <x:v>P15</x:v>
      </x:c>
      <x:c r="C112" s="97" t="str">
        <x:v>Cookie-Consent</x:v>
      </x:c>
      <x:c r="D112" s="98" t="n">
        <x:v>98</x:v>
      </x:c>
      <x:c r="E112" s="98" t="n">
        <x:v>97</x:v>
      </x:c>
      <x:c r="F112" s="98" t="n">
        <x:v>98</x:v>
      </x:c>
      <x:c r="G112" s="98" t="n">
        <x:v>97</x:v>
      </x:c>
      <x:c r="H112" s="98" t="n">
        <x:v>97</x:v>
      </x:c>
      <x:c r="I112" s="98" t="n">
        <x:f>ROUND(AVERAGE(D112:H112),0)</x:f>
        <x:v>97</x:v>
      </x:c>
      <x:c r="J112" s="97" t="str">
        <x:v>Sehr gute bis praktisch muttersprachliche Übersetzungsqualität; keine relevanten Einzelprobleme im geprüften Paket.</x:v>
      </x:c>
    </x:row>
    <x:row r="113" ht="21.600000381469727" hidden="0" customHeight="1">
      <x:c r="A113" s="99" t="str">
        <x:v>Schwedisch (sv-SE)</x:v>
      </x:c>
      <x:c r="B113" s="99" t="str">
        <x:v>P15</x:v>
      </x:c>
      <x:c r="C113" s="99" t="str">
        <x:v>Cookie-Consent</x:v>
      </x:c>
      <x:c r="D113" s="100" t="n">
        <x:v>98</x:v>
      </x:c>
      <x:c r="E113" s="100" t="n">
        <x:v>97</x:v>
      </x:c>
      <x:c r="F113" s="100" t="n">
        <x:v>98</x:v>
      </x:c>
      <x:c r="G113" s="100" t="n">
        <x:v>97</x:v>
      </x:c>
      <x:c r="H113" s="100" t="n">
        <x:v>97</x:v>
      </x:c>
      <x:c r="I113" s="100" t="n">
        <x:f>ROUND(AVERAGE(D113:H113),0)</x:f>
        <x:v>97</x:v>
      </x:c>
      <x:c r="J113" s="99" t="str">
        <x:v>Sehr gute bis praktisch muttersprachliche Übersetzungsqualität; keine relevanten Einzelprobleme im geprüften Paket.</x:v>
      </x:c>
    </x:row>
    <x:row r="114" ht="21.600000381469727" hidden="0" customHeight="1">
      <x:c r="A114" s="97" t="str">
        <x:v>Englisch (en)</x:v>
      </x:c>
      <x:c r="B114" s="97" t="str">
        <x:v>P16</x:v>
      </x:c>
      <x:c r="C114" s="97" t="str">
        <x:v>Konfigurator – Auswahl &amp; Zusammenfassung</x:v>
      </x:c>
      <x:c r="D114" s="98" t="n">
        <x:v>86</x:v>
      </x:c>
      <x:c r="E114" s="98" t="n">
        <x:v>90</x:v>
      </x:c>
      <x:c r="F114" s="98" t="n">
        <x:v>94</x:v>
      </x:c>
      <x:c r="G114" s="98" t="n">
        <x:v>92</x:v>
      </x:c>
      <x:c r="H114" s="98" t="n">
        <x:v>85</x:v>
      </x:c>
      <x:c r="I114" s="98" t="n">
        <x:f>ROUND(AVERAGE(D114:H114),0)</x:f>
        <x:v>89</x:v>
      </x:c>
      <x:c r="J114" s="97" t="str">
        <x:v>SEO und der rechtlich wichtige Unverbindlichkeits-Hinweis besitzen keine verifizierte aktive EN-Fassung.</x:v>
      </x:c>
    </x:row>
    <x:row r="115" ht="21.600000381469727" hidden="0" customHeight="1">
      <x:c r="A115" s="99" t="str">
        <x:v>Französisch (fr-FR)</x:v>
      </x:c>
      <x:c r="B115" s="99" t="str">
        <x:v>P16</x:v>
      </x:c>
      <x:c r="C115" s="99" t="str">
        <x:v>Konfigurator – Auswahl &amp; Zusammenfassung</x:v>
      </x:c>
      <x:c r="D115" s="100" t="n">
        <x:v>86</x:v>
      </x:c>
      <x:c r="E115" s="100" t="n">
        <x:v>90</x:v>
      </x:c>
      <x:c r="F115" s="100" t="n">
        <x:v>94</x:v>
      </x:c>
      <x:c r="G115" s="100" t="n">
        <x:v>92</x:v>
      </x:c>
      <x:c r="H115" s="100" t="n">
        <x:v>85</x:v>
      </x:c>
      <x:c r="I115" s="100" t="n">
        <x:f>ROUND(AVERAGE(D115:H115),0)</x:f>
        <x:v>89</x:v>
      </x:c>
      <x:c r="J115" s="99" t="str">
        <x:v>SEO und der rechtlich wichtige Unverbindlichkeits-Hinweis besitzen keine verifizierte aktive FR-Fassung.</x:v>
      </x:c>
    </x:row>
    <x:row r="116" ht="21.600000381469727" hidden="0" customHeight="1">
      <x:c r="A116" s="97" t="str">
        <x:v>Dänisch (da-DK)</x:v>
      </x:c>
      <x:c r="B116" s="97" t="str">
        <x:v>P16</x:v>
      </x:c>
      <x:c r="C116" s="97" t="str">
        <x:v>Konfigurator – Auswahl &amp; Zusammenfassung</x:v>
      </x:c>
      <x:c r="D116" s="98" t="n">
        <x:v>98</x:v>
      </x:c>
      <x:c r="E116" s="98" t="n">
        <x:v>96</x:v>
      </x:c>
      <x:c r="F116" s="98" t="n">
        <x:v>98</x:v>
      </x:c>
      <x:c r="G116" s="98" t="n">
        <x:v>96</x:v>
      </x:c>
      <x:c r="H116" s="98" t="n">
        <x:v>95</x:v>
      </x:c>
      <x:c r="I116" s="98" t="n">
        <x:f>ROUND(AVERAGE(D116:H116),0)</x:f>
        <x:v>97</x:v>
      </x:c>
      <x:c r="J116" s="97" t="str">
        <x:v>Sehr gute bis praktisch muttersprachliche Übersetzungsqualität; keine relevanten Einzelprobleme im geprüften Paket.</x:v>
      </x:c>
    </x:row>
    <x:row r="117" ht="15" hidden="0" customHeight="1">
      <x:c r="A117" s="99" t="str">
        <x:v>Spanisch (es-ES)</x:v>
      </x:c>
      <x:c r="B117" s="99" t="str">
        <x:v>P16</x:v>
      </x:c>
      <x:c r="C117" s="99" t="str">
        <x:v>Konfigurator – Auswahl &amp; Zusammenfassung</x:v>
      </x:c>
      <x:c r="D117" s="100" t="n">
        <x:v>97</x:v>
      </x:c>
      <x:c r="E117" s="100" t="n">
        <x:v>91</x:v>
      </x:c>
      <x:c r="F117" s="100" t="n">
        <x:v>98</x:v>
      </x:c>
      <x:c r="G117" s="100" t="n">
        <x:v>92</x:v>
      </x:c>
      <x:c r="H117" s="100" t="n">
        <x:v>95</x:v>
      </x:c>
      <x:c r="I117" s="100" t="n">
        <x:f>ROUND(AVERAGE(D117:H117),0)</x:f>
        <x:v>95</x:v>
      </x:c>
      <x:c r="J117" s="99" t="str">
        <x:v>Gute UI-Lokalisierung; „Otros bajo consulta“ wirkt unidiomatisch.</x:v>
      </x:c>
    </x:row>
    <x:row r="118" ht="21.600000381469727" hidden="0" customHeight="1">
      <x:c r="A118" s="97" t="str">
        <x:v>Niederländisch (nl-NL)</x:v>
      </x:c>
      <x:c r="B118" s="97" t="str">
        <x:v>P16</x:v>
      </x:c>
      <x:c r="C118" s="97" t="str">
        <x:v>Konfigurator – Auswahl &amp; Zusammenfassung</x:v>
      </x:c>
      <x:c r="D118" s="98" t="n">
        <x:v>98</x:v>
      </x:c>
      <x:c r="E118" s="98" t="n">
        <x:v>97</x:v>
      </x:c>
      <x:c r="F118" s="98" t="n">
        <x:v>98</x:v>
      </x:c>
      <x:c r="G118" s="98" t="n">
        <x:v>97</x:v>
      </x:c>
      <x:c r="H118" s="98" t="n">
        <x:v>96</x:v>
      </x:c>
      <x:c r="I118" s="98" t="n">
        <x:f>ROUND(AVERAGE(D118:H118),0)</x:f>
        <x:v>97</x:v>
      </x:c>
      <x:c r="J118" s="97" t="str">
        <x:v>Sehr gute bis praktisch muttersprachliche Übersetzungsqualität; keine relevanten Einzelprobleme im geprüften Paket.</x:v>
      </x:c>
    </x:row>
    <x:row r="119" ht="21.600000381469727" hidden="0" customHeight="1">
      <x:c r="A119" s="99" t="str">
        <x:v>Norwegisch Bokmål (nb-NO)</x:v>
      </x:c>
      <x:c r="B119" s="99" t="str">
        <x:v>P16</x:v>
      </x:c>
      <x:c r="C119" s="99" t="str">
        <x:v>Konfigurator – Auswahl &amp; Zusammenfassung</x:v>
      </x:c>
      <x:c r="D119" s="100" t="n">
        <x:v>98</x:v>
      </x:c>
      <x:c r="E119" s="100" t="n">
        <x:v>96</x:v>
      </x:c>
      <x:c r="F119" s="100" t="n">
        <x:v>98</x:v>
      </x:c>
      <x:c r="G119" s="100" t="n">
        <x:v>96</x:v>
      </x:c>
      <x:c r="H119" s="100" t="n">
        <x:v>95</x:v>
      </x:c>
      <x:c r="I119" s="100" t="n">
        <x:f>ROUND(AVERAGE(D119:H119),0)</x:f>
        <x:v>97</x:v>
      </x:c>
      <x:c r="J119" s="99" t="str">
        <x:v>Sehr gute bis praktisch muttersprachliche Übersetzungsqualität; keine relevanten Einzelprobleme im geprüften Paket.</x:v>
      </x:c>
    </x:row>
    <x:row r="120" ht="15" hidden="0" customHeight="1">
      <x:c r="A120" s="97" t="str">
        <x:v>Schwedisch (sv-SE)</x:v>
      </x:c>
      <x:c r="B120" s="97" t="str">
        <x:v>P16</x:v>
      </x:c>
      <x:c r="C120" s="97" t="str">
        <x:v>Konfigurator – Auswahl &amp; Zusammenfassung</x:v>
      </x:c>
      <x:c r="D120" s="98" t="n">
        <x:v>97</x:v>
      </x:c>
      <x:c r="E120" s="98" t="n">
        <x:v>91</x:v>
      </x:c>
      <x:c r="F120" s="98" t="n">
        <x:v>98</x:v>
      </x:c>
      <x:c r="G120" s="98" t="n">
        <x:v>89</x:v>
      </x:c>
      <x:c r="H120" s="98" t="n">
        <x:v>95</x:v>
      </x:c>
      <x:c r="I120" s="98" t="n">
        <x:f>ROUND(AVERAGE(D120:H120),0)</x:f>
        <x:v>94</x:v>
      </x:c>
      <x:c r="J120" s="97" t="str">
        <x:v>Gute UI-Lokalisierung; „Paketprisavdrag“ sollte zu „Paketrabatt“ werden.</x:v>
      </x:c>
    </x:row>
    <x:row r="121" ht="21.600000381469727" hidden="0" customHeight="1">
      <x:c r="A121" s="99" t="str">
        <x:v>Englisch (en)</x:v>
      </x:c>
      <x:c r="B121" s="99" t="str">
        <x:v>P17</x:v>
      </x:c>
      <x:c r="C121" s="99" t="str">
        <x:v>Lieferländer</x:v>
      </x:c>
      <x:c r="D121" s="100" t="n">
        <x:v>99</x:v>
      </x:c>
      <x:c r="E121" s="100" t="n">
        <x:v>98</x:v>
      </x:c>
      <x:c r="F121" s="100" t="n">
        <x:v>99</x:v>
      </x:c>
      <x:c r="G121" s="100" t="n">
        <x:v>98</x:v>
      </x:c>
      <x:c r="H121" s="100" t="n">
        <x:v>98</x:v>
      </x:c>
      <x:c r="I121" s="100" t="n">
        <x:f>ROUND(AVERAGE(D121:H121),0)</x:f>
        <x:v>98</x:v>
      </x:c>
      <x:c r="J121" s="99" t="str">
        <x:v>Sehr gute bis praktisch muttersprachliche Übersetzungsqualität; keine relevanten Einzelprobleme im geprüften Paket.</x:v>
      </x:c>
    </x:row>
    <x:row r="122" ht="21.600000381469727" hidden="0" customHeight="1">
      <x:c r="A122" s="97" t="str">
        <x:v>Französisch (fr-FR)</x:v>
      </x:c>
      <x:c r="B122" s="97" t="str">
        <x:v>P17</x:v>
      </x:c>
      <x:c r="C122" s="97" t="str">
        <x:v>Lieferländer</x:v>
      </x:c>
      <x:c r="D122" s="98" t="n">
        <x:v>99</x:v>
      </x:c>
      <x:c r="E122" s="98" t="n">
        <x:v>98</x:v>
      </x:c>
      <x:c r="F122" s="98" t="n">
        <x:v>99</x:v>
      </x:c>
      <x:c r="G122" s="98" t="n">
        <x:v>98</x:v>
      </x:c>
      <x:c r="H122" s="98" t="n">
        <x:v>98</x:v>
      </x:c>
      <x:c r="I122" s="98" t="n">
        <x:f>ROUND(AVERAGE(D122:H122),0)</x:f>
        <x:v>98</x:v>
      </x:c>
      <x:c r="J122" s="97" t="str">
        <x:v>Sehr gute bis praktisch muttersprachliche Übersetzungsqualität; keine relevanten Einzelprobleme im geprüften Paket.</x:v>
      </x:c>
    </x:row>
    <x:row r="123" ht="21.600000381469727" hidden="0" customHeight="1">
      <x:c r="A123" s="99" t="str">
        <x:v>Dänisch (da-DK)</x:v>
      </x:c>
      <x:c r="B123" s="99" t="str">
        <x:v>P17</x:v>
      </x:c>
      <x:c r="C123" s="99" t="str">
        <x:v>Lieferländer</x:v>
      </x:c>
      <x:c r="D123" s="100" t="n">
        <x:v>99</x:v>
      </x:c>
      <x:c r="E123" s="100" t="n">
        <x:v>98</x:v>
      </x:c>
      <x:c r="F123" s="100" t="n">
        <x:v>99</x:v>
      </x:c>
      <x:c r="G123" s="100" t="n">
        <x:v>98</x:v>
      </x:c>
      <x:c r="H123" s="100" t="n">
        <x:v>98</x:v>
      </x:c>
      <x:c r="I123" s="100" t="n">
        <x:f>ROUND(AVERAGE(D123:H123),0)</x:f>
        <x:v>98</x:v>
      </x:c>
      <x:c r="J123" s="99" t="str">
        <x:v>Sehr gute bis praktisch muttersprachliche Übersetzungsqualität; keine relevanten Einzelprobleme im geprüften Paket.</x:v>
      </x:c>
    </x:row>
    <x:row r="124" ht="21.600000381469727" hidden="0" customHeight="1">
      <x:c r="A124" s="97" t="str">
        <x:v>Spanisch (es-ES)</x:v>
      </x:c>
      <x:c r="B124" s="97" t="str">
        <x:v>P17</x:v>
      </x:c>
      <x:c r="C124" s="97" t="str">
        <x:v>Lieferländer</x:v>
      </x:c>
      <x:c r="D124" s="98" t="n">
        <x:v>99</x:v>
      </x:c>
      <x:c r="E124" s="98" t="n">
        <x:v>98</x:v>
      </x:c>
      <x:c r="F124" s="98" t="n">
        <x:v>99</x:v>
      </x:c>
      <x:c r="G124" s="98" t="n">
        <x:v>98</x:v>
      </x:c>
      <x:c r="H124" s="98" t="n">
        <x:v>98</x:v>
      </x:c>
      <x:c r="I124" s="98" t="n">
        <x:f>ROUND(AVERAGE(D124:H124),0)</x:f>
        <x:v>98</x:v>
      </x:c>
      <x:c r="J124" s="97" t="str">
        <x:v>Sehr gute bis praktisch muttersprachliche Übersetzungsqualität; keine relevanten Einzelprobleme im geprüften Paket.</x:v>
      </x:c>
    </x:row>
    <x:row r="125" ht="21.600000381469727" hidden="0" customHeight="1">
      <x:c r="A125" s="99" t="str">
        <x:v>Niederländisch (nl-NL)</x:v>
      </x:c>
      <x:c r="B125" s="99" t="str">
        <x:v>P17</x:v>
      </x:c>
      <x:c r="C125" s="99" t="str">
        <x:v>Lieferländer</x:v>
      </x:c>
      <x:c r="D125" s="100" t="n">
        <x:v>99</x:v>
      </x:c>
      <x:c r="E125" s="100" t="n">
        <x:v>98</x:v>
      </x:c>
      <x:c r="F125" s="100" t="n">
        <x:v>99</x:v>
      </x:c>
      <x:c r="G125" s="100" t="n">
        <x:v>98</x:v>
      </x:c>
      <x:c r="H125" s="100" t="n">
        <x:v>98</x:v>
      </x:c>
      <x:c r="I125" s="100" t="n">
        <x:f>ROUND(AVERAGE(D125:H125),0)</x:f>
        <x:v>98</x:v>
      </x:c>
      <x:c r="J125" s="99" t="str">
        <x:v>Sehr gute bis praktisch muttersprachliche Übersetzungsqualität; keine relevanten Einzelprobleme im geprüften Paket.</x:v>
      </x:c>
    </x:row>
    <x:row r="126" ht="21.600000381469727" hidden="0" customHeight="1">
      <x:c r="A126" s="97" t="str">
        <x:v>Norwegisch Bokmål (nb-NO)</x:v>
      </x:c>
      <x:c r="B126" s="97" t="str">
        <x:v>P17</x:v>
      </x:c>
      <x:c r="C126" s="97" t="str">
        <x:v>Lieferländer</x:v>
      </x:c>
      <x:c r="D126" s="98" t="n">
        <x:v>99</x:v>
      </x:c>
      <x:c r="E126" s="98" t="n">
        <x:v>98</x:v>
      </x:c>
      <x:c r="F126" s="98" t="n">
        <x:v>99</x:v>
      </x:c>
      <x:c r="G126" s="98" t="n">
        <x:v>98</x:v>
      </x:c>
      <x:c r="H126" s="98" t="n">
        <x:v>98</x:v>
      </x:c>
      <x:c r="I126" s="98" t="n">
        <x:f>ROUND(AVERAGE(D126:H126),0)</x:f>
        <x:v>98</x:v>
      </x:c>
      <x:c r="J126" s="97" t="str">
        <x:v>Sehr gute bis praktisch muttersprachliche Übersetzungsqualität; keine relevanten Einzelprobleme im geprüften Paket.</x:v>
      </x:c>
    </x:row>
    <x:row r="127" ht="21.600000381469727" hidden="0" customHeight="1">
      <x:c r="A127" s="99" t="str">
        <x:v>Schwedisch (sv-SE)</x:v>
      </x:c>
      <x:c r="B127" s="99" t="str">
        <x:v>P17</x:v>
      </x:c>
      <x:c r="C127" s="99" t="str">
        <x:v>Lieferländer</x:v>
      </x:c>
      <x:c r="D127" s="100" t="n">
        <x:v>99</x:v>
      </x:c>
      <x:c r="E127" s="100" t="n">
        <x:v>98</x:v>
      </x:c>
      <x:c r="F127" s="100" t="n">
        <x:v>99</x:v>
      </x:c>
      <x:c r="G127" s="100" t="n">
        <x:v>98</x:v>
      </x:c>
      <x:c r="H127" s="100" t="n">
        <x:v>98</x:v>
      </x:c>
      <x:c r="I127" s="100" t="n">
        <x:f>ROUND(AVERAGE(D127:H127),0)</x:f>
        <x:v>98</x:v>
      </x:c>
      <x:c r="J127" s="99" t="str">
        <x:v>Sehr gute bis praktisch muttersprachliche Übersetzungsqualität; keine relevanten Einzelprobleme im geprüften Paket.</x:v>
      </x:c>
    </x:row>
    <x:row r="128" ht="21.600000381469727" hidden="0" customHeight="1">
      <x:c r="A128" s="97" t="str">
        <x:v>Englisch (en)</x:v>
      </x:c>
      <x:c r="B128" s="97" t="str">
        <x:v>P18</x:v>
      </x:c>
      <x:c r="C128" s="97" t="str">
        <x:v>Konfigurator – Kontakt/Händler/Absenden</x:v>
      </x:c>
      <x:c r="D128" s="98" t="n">
        <x:v>60</x:v>
      </x:c>
      <x:c r="E128" s="98" t="n">
        <x:v>65</x:v>
      </x:c>
      <x:c r="F128" s="98" t="n">
        <x:v>70</x:v>
      </x:c>
      <x:c r="G128" s="98" t="n">
        <x:v>70</x:v>
      </x:c>
      <x:c r="H128" s="98" t="n">
        <x:v>55</x:v>
      </x:c>
      <x:c r="I128" s="98" t="n">
        <x:f>ROUND(AVERAGE(D128:H128),0)</x:f>
        <x:v>64</x:v>
      </x:c>
      <x:c r="J128" s="97" t="str">
        <x:v>18 Kernstrings für Review, Kontakt, Validierung, Status und PDF sind SOURCE_NOT_VERIFIED.</x:v>
      </x:c>
    </x:row>
    <x:row r="129" ht="21.600000381469727" hidden="0" customHeight="1">
      <x:c r="A129" s="99" t="str">
        <x:v>Französisch (fr-FR)</x:v>
      </x:c>
      <x:c r="B129" s="99" t="str">
        <x:v>P18</x:v>
      </x:c>
      <x:c r="C129" s="99" t="str">
        <x:v>Konfigurator – Kontakt/Händler/Absenden</x:v>
      </x:c>
      <x:c r="D129" s="100" t="n">
        <x:v>60</x:v>
      </x:c>
      <x:c r="E129" s="100" t="n">
        <x:v>65</x:v>
      </x:c>
      <x:c r="F129" s="100" t="n">
        <x:v>70</x:v>
      </x:c>
      <x:c r="G129" s="100" t="n">
        <x:v>70</x:v>
      </x:c>
      <x:c r="H129" s="100" t="n">
        <x:v>55</x:v>
      </x:c>
      <x:c r="I129" s="100" t="n">
        <x:f>ROUND(AVERAGE(D129:H129),0)</x:f>
        <x:v>64</x:v>
      </x:c>
      <x:c r="J129" s="99" t="str">
        <x:v>18 Kernstrings für Review, Kontakt, Validierung, Status und PDF sind SOURCE_NOT_VERIFIED.</x:v>
      </x:c>
    </x:row>
    <x:row r="130" ht="21.600000381469727" hidden="0" customHeight="1">
      <x:c r="A130" s="97" t="str">
        <x:v>Dänisch (da-DK)</x:v>
      </x:c>
      <x:c r="B130" s="97" t="str">
        <x:v>P18</x:v>
      </x:c>
      <x:c r="C130" s="97" t="str">
        <x:v>Konfigurator – Kontakt/Händler/Absenden</x:v>
      </x:c>
      <x:c r="D130" s="98" t="n">
        <x:v>98</x:v>
      </x:c>
      <x:c r="E130" s="98" t="n">
        <x:v>97</x:v>
      </x:c>
      <x:c r="F130" s="98" t="n">
        <x:v>98</x:v>
      </x:c>
      <x:c r="G130" s="98" t="n">
        <x:v>97</x:v>
      </x:c>
      <x:c r="H130" s="98" t="n">
        <x:v>97</x:v>
      </x:c>
      <x:c r="I130" s="98" t="n">
        <x:f>ROUND(AVERAGE(D130:H130),0)</x:f>
        <x:v>97</x:v>
      </x:c>
      <x:c r="J130" s="97" t="str">
        <x:v>Sehr gute bis praktisch muttersprachliche Übersetzungsqualität; keine relevanten Einzelprobleme im geprüften Paket.</x:v>
      </x:c>
    </x:row>
    <x:row r="131" ht="21.600000381469727" hidden="0" customHeight="1">
      <x:c r="A131" s="99" t="str">
        <x:v>Spanisch (es-ES)</x:v>
      </x:c>
      <x:c r="B131" s="99" t="str">
        <x:v>P18</x:v>
      </x:c>
      <x:c r="C131" s="99" t="str">
        <x:v>Konfigurator – Kontakt/Händler/Absenden</x:v>
      </x:c>
      <x:c r="D131" s="100" t="n">
        <x:v>98</x:v>
      </x:c>
      <x:c r="E131" s="100" t="n">
        <x:v>97</x:v>
      </x:c>
      <x:c r="F131" s="100" t="n">
        <x:v>98</x:v>
      </x:c>
      <x:c r="G131" s="100" t="n">
        <x:v>97</x:v>
      </x:c>
      <x:c r="H131" s="100" t="n">
        <x:v>97</x:v>
      </x:c>
      <x:c r="I131" s="100" t="n">
        <x:f>ROUND(AVERAGE(D131:H131),0)</x:f>
        <x:v>97</x:v>
      </x:c>
      <x:c r="J131" s="99" t="str">
        <x:v>Sehr gute bis praktisch muttersprachliche Übersetzungsqualität; keine relevanten Einzelprobleme im geprüften Paket.</x:v>
      </x:c>
    </x:row>
    <x:row r="132" ht="21.600000381469727" hidden="0" customHeight="1">
      <x:c r="A132" s="97" t="str">
        <x:v>Niederländisch (nl-NL)</x:v>
      </x:c>
      <x:c r="B132" s="97" t="str">
        <x:v>P18</x:v>
      </x:c>
      <x:c r="C132" s="97" t="str">
        <x:v>Konfigurator – Kontakt/Händler/Absenden</x:v>
      </x:c>
      <x:c r="D132" s="98" t="n">
        <x:v>98</x:v>
      </x:c>
      <x:c r="E132" s="98" t="n">
        <x:v>97</x:v>
      </x:c>
      <x:c r="F132" s="98" t="n">
        <x:v>98</x:v>
      </x:c>
      <x:c r="G132" s="98" t="n">
        <x:v>97</x:v>
      </x:c>
      <x:c r="H132" s="98" t="n">
        <x:v>97</x:v>
      </x:c>
      <x:c r="I132" s="98" t="n">
        <x:f>ROUND(AVERAGE(D132:H132),0)</x:f>
        <x:v>97</x:v>
      </x:c>
      <x:c r="J132" s="97" t="str">
        <x:v>Sehr gute bis praktisch muttersprachliche Übersetzungsqualität; keine relevanten Einzelprobleme im geprüften Paket.</x:v>
      </x:c>
    </x:row>
    <x:row r="133" ht="21.600000381469727" hidden="0" customHeight="1">
      <x:c r="A133" s="99" t="str">
        <x:v>Norwegisch Bokmål (nb-NO)</x:v>
      </x:c>
      <x:c r="B133" s="99" t="str">
        <x:v>P18</x:v>
      </x:c>
      <x:c r="C133" s="99" t="str">
        <x:v>Konfigurator – Kontakt/Händler/Absenden</x:v>
      </x:c>
      <x:c r="D133" s="100" t="n">
        <x:v>98</x:v>
      </x:c>
      <x:c r="E133" s="100" t="n">
        <x:v>97</x:v>
      </x:c>
      <x:c r="F133" s="100" t="n">
        <x:v>98</x:v>
      </x:c>
      <x:c r="G133" s="100" t="n">
        <x:v>97</x:v>
      </x:c>
      <x:c r="H133" s="100" t="n">
        <x:v>97</x:v>
      </x:c>
      <x:c r="I133" s="100" t="n">
        <x:f>ROUND(AVERAGE(D133:H133),0)</x:f>
        <x:v>97</x:v>
      </x:c>
      <x:c r="J133" s="99" t="str">
        <x:v>Sehr gute bis praktisch muttersprachliche Übersetzungsqualität; keine relevanten Einzelprobleme im geprüften Paket.</x:v>
      </x:c>
    </x:row>
    <x:row r="134" ht="21.600000381469727" hidden="0" customHeight="1">
      <x:c r="A134" s="97" t="str">
        <x:v>Schwedisch (sv-SE)</x:v>
      </x:c>
      <x:c r="B134" s="97" t="str">
        <x:v>P18</x:v>
      </x:c>
      <x:c r="C134" s="97" t="str">
        <x:v>Konfigurator – Kontakt/Händler/Absenden</x:v>
      </x:c>
      <x:c r="D134" s="98" t="n">
        <x:v>98</x:v>
      </x:c>
      <x:c r="E134" s="98" t="n">
        <x:v>97</x:v>
      </x:c>
      <x:c r="F134" s="98" t="n">
        <x:v>98</x:v>
      </x:c>
      <x:c r="G134" s="98" t="n">
        <x:v>97</x:v>
      </x:c>
      <x:c r="H134" s="98" t="n">
        <x:v>97</x:v>
      </x:c>
      <x:c r="I134" s="98" t="n">
        <x:f>ROUND(AVERAGE(D134:H134),0)</x:f>
        <x:v>97</x:v>
      </x:c>
      <x:c r="J134" s="97" t="str">
        <x:v>Sehr gute bis praktisch muttersprachliche Übersetzungsqualität; keine relevanten Einzelprobleme im geprüften Paket.</x:v>
      </x:c>
    </x:row>
    <x:row r="135" ht="21.600000381469727" hidden="0" customHeight="1">
      <x:c r="A135" s="99" t="str">
        <x:v>Englisch (en)</x:v>
      </x:c>
      <x:c r="B135" s="99" t="str">
        <x:v>P19</x:v>
      </x:c>
      <x:c r="C135" s="99" t="str">
        <x:v>Bestätigung</x:v>
      </x:c>
      <x:c r="D135" s="100" t="n">
        <x:v>50</x:v>
      </x:c>
      <x:c r="E135" s="100" t="n">
        <x:v>45</x:v>
      </x:c>
      <x:c r="F135" s="100" t="n">
        <x:v>50</x:v>
      </x:c>
      <x:c r="G135" s="100" t="n">
        <x:v>55</x:v>
      </x:c>
      <x:c r="H135" s="100" t="n">
        <x:v>40</x:v>
      </x:c>
      <x:c r="I135" s="100" t="n">
        <x:f>ROUND(AVERAGE(D135:H135),0)</x:f>
        <x:v>48</x:v>
      </x:c>
      <x:c r="J135" s="99" t="str">
        <x:v>Im aktiven Abschlusszustand ist nur die Überschrift übersetzt; der übrige Inhalt bleibt weitgehend deutsch.</x:v>
      </x:c>
    </x:row>
    <x:row r="136" ht="21.600000381469727" hidden="0" customHeight="1">
      <x:c r="A136" s="97" t="str">
        <x:v>Französisch (fr-FR)</x:v>
      </x:c>
      <x:c r="B136" s="97" t="str">
        <x:v>P19</x:v>
      </x:c>
      <x:c r="C136" s="97" t="str">
        <x:v>Bestätigung</x:v>
      </x:c>
      <x:c r="D136" s="98" t="n">
        <x:v>50</x:v>
      </x:c>
      <x:c r="E136" s="98" t="n">
        <x:v>45</x:v>
      </x:c>
      <x:c r="F136" s="98" t="n">
        <x:v>50</x:v>
      </x:c>
      <x:c r="G136" s="98" t="n">
        <x:v>55</x:v>
      </x:c>
      <x:c r="H136" s="98" t="n">
        <x:v>40</x:v>
      </x:c>
      <x:c r="I136" s="98" t="n">
        <x:f>ROUND(AVERAGE(D136:H136),0)</x:f>
        <x:v>48</x:v>
      </x:c>
      <x:c r="J136" s="97" t="str">
        <x:v>Im aktiven Abschlusszustand ist nur die Überschrift übersetzt; der übrige Inhalt bleibt weitgehend deutsch.</x:v>
      </x:c>
    </x:row>
    <x:row r="137" ht="21.600000381469727" hidden="0" customHeight="1">
      <x:c r="A137" s="99" t="str">
        <x:v>Dänisch (da-DK)</x:v>
      </x:c>
      <x:c r="B137" s="99" t="str">
        <x:v>P19</x:v>
      </x:c>
      <x:c r="C137" s="99" t="str">
        <x:v>Bestätigung</x:v>
      </x:c>
      <x:c r="D137" s="100" t="n">
        <x:v>99</x:v>
      </x:c>
      <x:c r="E137" s="100" t="n">
        <x:v>98</x:v>
      </x:c>
      <x:c r="F137" s="100" t="n">
        <x:v>99</x:v>
      </x:c>
      <x:c r="G137" s="100" t="n">
        <x:v>98</x:v>
      </x:c>
      <x:c r="H137" s="100" t="n">
        <x:v>98</x:v>
      </x:c>
      <x:c r="I137" s="100" t="n">
        <x:f>ROUND(AVERAGE(D137:H137),0)</x:f>
        <x:v>98</x:v>
      </x:c>
      <x:c r="J137" s="99" t="str">
        <x:v>Sehr gute bis praktisch muttersprachliche Übersetzungsqualität; keine relevanten Einzelprobleme im geprüften Paket.</x:v>
      </x:c>
    </x:row>
    <x:row r="138" ht="21.600000381469727" hidden="0" customHeight="1">
      <x:c r="A138" s="97" t="str">
        <x:v>Spanisch (es-ES)</x:v>
      </x:c>
      <x:c r="B138" s="97" t="str">
        <x:v>P19</x:v>
      </x:c>
      <x:c r="C138" s="97" t="str">
        <x:v>Bestätigung</x:v>
      </x:c>
      <x:c r="D138" s="98" t="n">
        <x:v>99</x:v>
      </x:c>
      <x:c r="E138" s="98" t="n">
        <x:v>98</x:v>
      </x:c>
      <x:c r="F138" s="98" t="n">
        <x:v>99</x:v>
      </x:c>
      <x:c r="G138" s="98" t="n">
        <x:v>98</x:v>
      </x:c>
      <x:c r="H138" s="98" t="n">
        <x:v>98</x:v>
      </x:c>
      <x:c r="I138" s="98" t="n">
        <x:f>ROUND(AVERAGE(D138:H138),0)</x:f>
        <x:v>98</x:v>
      </x:c>
      <x:c r="J138" s="97" t="str">
        <x:v>Sehr gute bis praktisch muttersprachliche Übersetzungsqualität; keine relevanten Einzelprobleme im geprüften Paket.</x:v>
      </x:c>
    </x:row>
    <x:row r="139" ht="21.600000381469727" hidden="0" customHeight="1">
      <x:c r="A139" s="99" t="str">
        <x:v>Niederländisch (nl-NL)</x:v>
      </x:c>
      <x:c r="B139" s="99" t="str">
        <x:v>P19</x:v>
      </x:c>
      <x:c r="C139" s="99" t="str">
        <x:v>Bestätigung</x:v>
      </x:c>
      <x:c r="D139" s="100" t="n">
        <x:v>99</x:v>
      </x:c>
      <x:c r="E139" s="100" t="n">
        <x:v>98</x:v>
      </x:c>
      <x:c r="F139" s="100" t="n">
        <x:v>99</x:v>
      </x:c>
      <x:c r="G139" s="100" t="n">
        <x:v>98</x:v>
      </x:c>
      <x:c r="H139" s="100" t="n">
        <x:v>98</x:v>
      </x:c>
      <x:c r="I139" s="100" t="n">
        <x:f>ROUND(AVERAGE(D139:H139),0)</x:f>
        <x:v>98</x:v>
      </x:c>
      <x:c r="J139" s="99" t="str">
        <x:v>Sehr gute bis praktisch muttersprachliche Übersetzungsqualität; keine relevanten Einzelprobleme im geprüften Paket.</x:v>
      </x:c>
    </x:row>
    <x:row r="140" ht="21.600000381469727" hidden="0" customHeight="1">
      <x:c r="A140" s="97" t="str">
        <x:v>Norwegisch Bokmål (nb-NO)</x:v>
      </x:c>
      <x:c r="B140" s="97" t="str">
        <x:v>P19</x:v>
      </x:c>
      <x:c r="C140" s="97" t="str">
        <x:v>Bestätigung</x:v>
      </x:c>
      <x:c r="D140" s="98" t="n">
        <x:v>99</x:v>
      </x:c>
      <x:c r="E140" s="98" t="n">
        <x:v>98</x:v>
      </x:c>
      <x:c r="F140" s="98" t="n">
        <x:v>99</x:v>
      </x:c>
      <x:c r="G140" s="98" t="n">
        <x:v>98</x:v>
      </x:c>
      <x:c r="H140" s="98" t="n">
        <x:v>98</x:v>
      </x:c>
      <x:c r="I140" s="98" t="n">
        <x:f>ROUND(AVERAGE(D140:H140),0)</x:f>
        <x:v>98</x:v>
      </x:c>
      <x:c r="J140" s="97" t="str">
        <x:v>Sehr gute bis praktisch muttersprachliche Übersetzungsqualität; keine relevanten Einzelprobleme im geprüften Paket.</x:v>
      </x:c>
    </x:row>
    <x:row r="141" ht="21.600000381469727" hidden="0" customHeight="1">
      <x:c r="A141" s="99" t="str">
        <x:v>Schwedisch (sv-SE)</x:v>
      </x:c>
      <x:c r="B141" s="99" t="str">
        <x:v>P19</x:v>
      </x:c>
      <x:c r="C141" s="99" t="str">
        <x:v>Bestätigung</x:v>
      </x:c>
      <x:c r="D141" s="100" t="n">
        <x:v>99</x:v>
      </x:c>
      <x:c r="E141" s="100" t="n">
        <x:v>98</x:v>
      </x:c>
      <x:c r="F141" s="100" t="n">
        <x:v>99</x:v>
      </x:c>
      <x:c r="G141" s="100" t="n">
        <x:v>98</x:v>
      </x:c>
      <x:c r="H141" s="100" t="n">
        <x:v>98</x:v>
      </x:c>
      <x:c r="I141" s="100" t="n">
        <x:f>ROUND(AVERAGE(D141:H141),0)</x:f>
        <x:v>98</x:v>
      </x:c>
      <x:c r="J141" s="99" t="str">
        <x:v>Sehr gute bis praktisch muttersprachliche Übersetzungsqualität; keine relevanten Einzelprobleme im geprüften Paket.</x:v>
      </x:c>
    </x:row>
    <x:row r="142" ht="21.600000381469727" hidden="0" customHeight="1">
      <x:c r="A142" s="97" t="str">
        <x:v>Englisch (en)</x:v>
      </x:c>
      <x:c r="B142" s="97" t="str">
        <x:v>P20</x:v>
      </x:c>
      <x:c r="C142" s="97" t="str">
        <x:v>Konfigurator – zusammengesetzte Werte</x:v>
      </x:c>
      <x:c r="D142" s="98" t="n">
        <x:v>72</x:v>
      </x:c>
      <x:c r="E142" s="98" t="n">
        <x:v>75</x:v>
      </x:c>
      <x:c r="F142" s="98" t="n">
        <x:v>80</x:v>
      </x:c>
      <x:c r="G142" s="98" t="n">
        <x:v>75</x:v>
      </x:c>
      <x:c r="H142" s="98" t="n">
        <x:v>70</x:v>
      </x:c>
      <x:c r="I142" s="98" t="n">
        <x:f>ROUND(AVERAGE(D142:H142),0)</x:f>
        <x:v>74</x:v>
      </x:c>
      <x:c r="J142" s="97" t="str">
        <x:v>Sechs dynamisch zusammengesetzte technische Werte sind nicht als englische Zieltexte abgesichert.</x:v>
      </x:c>
    </x:row>
    <x:row r="143" ht="21.600000381469727" hidden="0" customHeight="1">
      <x:c r="A143" s="99" t="str">
        <x:v>Französisch (fr-FR)</x:v>
      </x:c>
      <x:c r="B143" s="99" t="str">
        <x:v>P20</x:v>
      </x:c>
      <x:c r="C143" s="99" t="str">
        <x:v>Konfigurator – zusammengesetzte Werte</x:v>
      </x:c>
      <x:c r="D143" s="100" t="n">
        <x:v>72</x:v>
      </x:c>
      <x:c r="E143" s="100" t="n">
        <x:v>75</x:v>
      </x:c>
      <x:c r="F143" s="100" t="n">
        <x:v>80</x:v>
      </x:c>
      <x:c r="G143" s="100" t="n">
        <x:v>75</x:v>
      </x:c>
      <x:c r="H143" s="100" t="n">
        <x:v>70</x:v>
      </x:c>
      <x:c r="I143" s="100" t="n">
        <x:f>ROUND(AVERAGE(D143:H143),0)</x:f>
        <x:v>74</x:v>
      </x:c>
      <x:c r="J143" s="99" t="str">
        <x:v>Sechs dynamisch zusammengesetzte technische Werte sind nicht als französische Zieltexte abgesichert.</x:v>
      </x:c>
    </x:row>
    <x:row r="144" ht="21.600000381469727" hidden="0" customHeight="1">
      <x:c r="A144" s="97" t="str">
        <x:v>Dänisch (da-DK)</x:v>
      </x:c>
      <x:c r="B144" s="97" t="str">
        <x:v>P20</x:v>
      </x:c>
      <x:c r="C144" s="97" t="str">
        <x:v>Konfigurator – zusammengesetzte Werte</x:v>
      </x:c>
      <x:c r="D144" s="98" t="n">
        <x:v>98</x:v>
      </x:c>
      <x:c r="E144" s="98" t="n">
        <x:v>96</x:v>
      </x:c>
      <x:c r="F144" s="98" t="n">
        <x:v>98</x:v>
      </x:c>
      <x:c r="G144" s="98" t="n">
        <x:v>97</x:v>
      </x:c>
      <x:c r="H144" s="98" t="n">
        <x:v>96</x:v>
      </x:c>
      <x:c r="I144" s="98" t="n">
        <x:f>ROUND(AVERAGE(D144:H144),0)</x:f>
        <x:v>97</x:v>
      </x:c>
      <x:c r="J144" s="97" t="str">
        <x:v>Sehr gute bis praktisch muttersprachliche Übersetzungsqualität; keine relevanten Einzelprobleme im geprüften Paket.</x:v>
      </x:c>
    </x:row>
    <x:row r="145" ht="21.600000381469727" hidden="0" customHeight="1">
      <x:c r="A145" s="99" t="str">
        <x:v>Spanisch (es-ES)</x:v>
      </x:c>
      <x:c r="B145" s="99" t="str">
        <x:v>P20</x:v>
      </x:c>
      <x:c r="C145" s="99" t="str">
        <x:v>Konfigurator – zusammengesetzte Werte</x:v>
      </x:c>
      <x:c r="D145" s="100" t="n">
        <x:v>97</x:v>
      </x:c>
      <x:c r="E145" s="100" t="n">
        <x:v>92</x:v>
      </x:c>
      <x:c r="F145" s="100" t="n">
        <x:v>98</x:v>
      </x:c>
      <x:c r="G145" s="100" t="n">
        <x:v>93</x:v>
      </x:c>
      <x:c r="H145" s="100" t="n">
        <x:v>96</x:v>
      </x:c>
      <x:c r="I145" s="100" t="n">
        <x:f>ROUND(AVERAGE(D145:H145),0)</x:f>
        <x:v>95</x:v>
      </x:c>
      <x:c r="J145" s="99" t="str">
        <x:v>Sehr gute bis praktisch muttersprachliche Übersetzungsqualität; keine relevanten Einzelprobleme im geprüften Paket.</x:v>
      </x:c>
    </x:row>
    <x:row r="146" ht="21.600000381469727" hidden="0" customHeight="1">
      <x:c r="A146" s="97" t="str">
        <x:v>Niederländisch (nl-NL)</x:v>
      </x:c>
      <x:c r="B146" s="97" t="str">
        <x:v>P20</x:v>
      </x:c>
      <x:c r="C146" s="97" t="str">
        <x:v>Konfigurator – zusammengesetzte Werte</x:v>
      </x:c>
      <x:c r="D146" s="98" t="n">
        <x:v>98</x:v>
      </x:c>
      <x:c r="E146" s="98" t="n">
        <x:v>96</x:v>
      </x:c>
      <x:c r="F146" s="98" t="n">
        <x:v>98</x:v>
      </x:c>
      <x:c r="G146" s="98" t="n">
        <x:v>97</x:v>
      </x:c>
      <x:c r="H146" s="98" t="n">
        <x:v>96</x:v>
      </x:c>
      <x:c r="I146" s="98" t="n">
        <x:f>ROUND(AVERAGE(D146:H146),0)</x:f>
        <x:v>97</x:v>
      </x:c>
      <x:c r="J146" s="97" t="str">
        <x:v>Sehr gute bis praktisch muttersprachliche Übersetzungsqualität; keine relevanten Einzelprobleme im geprüften Paket.</x:v>
      </x:c>
    </x:row>
    <x:row r="147" ht="21.600000381469727" hidden="0" customHeight="1">
      <x:c r="A147" s="99" t="str">
        <x:v>Norwegisch Bokmål (nb-NO)</x:v>
      </x:c>
      <x:c r="B147" s="99" t="str">
        <x:v>P20</x:v>
      </x:c>
      <x:c r="C147" s="99" t="str">
        <x:v>Konfigurator – zusammengesetzte Werte</x:v>
      </x:c>
      <x:c r="D147" s="100" t="n">
        <x:v>98</x:v>
      </x:c>
      <x:c r="E147" s="100" t="n">
        <x:v>96</x:v>
      </x:c>
      <x:c r="F147" s="100" t="n">
        <x:v>98</x:v>
      </x:c>
      <x:c r="G147" s="100" t="n">
        <x:v>97</x:v>
      </x:c>
      <x:c r="H147" s="100" t="n">
        <x:v>96</x:v>
      </x:c>
      <x:c r="I147" s="100" t="n">
        <x:f>ROUND(AVERAGE(D147:H147),0)</x:f>
        <x:v>97</x:v>
      </x:c>
      <x:c r="J147" s="99" t="str">
        <x:v>Sehr gute bis praktisch muttersprachliche Übersetzungsqualität; keine relevanten Einzelprobleme im geprüften Paket.</x:v>
      </x:c>
    </x:row>
    <x:row r="148" ht="21.600000381469727" hidden="0" customHeight="1">
      <x:c r="A148" s="97" t="str">
        <x:v>Schwedisch (sv-SE)</x:v>
      </x:c>
      <x:c r="B148" s="97" t="str">
        <x:v>P20</x:v>
      </x:c>
      <x:c r="C148" s="97" t="str">
        <x:v>Konfigurator – zusammengesetzte Werte</x:v>
      </x:c>
      <x:c r="D148" s="98" t="n">
        <x:v>98</x:v>
      </x:c>
      <x:c r="E148" s="98" t="n">
        <x:v>96</x:v>
      </x:c>
      <x:c r="F148" s="98" t="n">
        <x:v>98</x:v>
      </x:c>
      <x:c r="G148" s="98" t="n">
        <x:v>97</x:v>
      </x:c>
      <x:c r="H148" s="98" t="n">
        <x:v>96</x:v>
      </x:c>
      <x:c r="I148" s="98" t="n">
        <x:f>ROUND(AVERAGE(D148:H148),0)</x:f>
        <x:v>97</x:v>
      </x:c>
      <x:c r="J148" s="97" t="str">
        <x:v>Sehr gute bis praktisch muttersprachliche Übersetzungsqualität; keine relevanten Einzelprobleme im geprüften Paket.</x:v>
      </x:c>
    </x:row>
    <x:row r="149" ht="21.600000381469727" hidden="0" customHeight="1">
      <x:c r="A149" s="99" t="str">
        <x:v>Englisch (en)</x:v>
      </x:c>
      <x:c r="B149" s="99" t="str">
        <x:v>P21</x:v>
      </x:c>
      <x:c r="C149" s="99" t="str">
        <x:v>Barrierefreiheit</x:v>
      </x:c>
      <x:c r="D149" s="100" t="n">
        <x:v>97</x:v>
      </x:c>
      <x:c r="E149" s="100" t="n">
        <x:v>96</x:v>
      </x:c>
      <x:c r="F149" s="100" t="n">
        <x:v>98</x:v>
      </x:c>
      <x:c r="G149" s="100" t="n">
        <x:v>96</x:v>
      </x:c>
      <x:c r="H149" s="100" t="n">
        <x:v>96</x:v>
      </x:c>
      <x:c r="I149" s="100" t="n">
        <x:f>ROUND(AVERAGE(D149:H149),0)</x:f>
        <x:v>97</x:v>
      </x:c>
      <x:c r="J149" s="99" t="str">
        <x:v>Sehr gute bis praktisch muttersprachliche Übersetzungsqualität; keine relevanten Einzelprobleme im geprüften Paket.</x:v>
      </x:c>
    </x:row>
    <x:row r="150" ht="21.600000381469727" hidden="0" customHeight="1">
      <x:c r="A150" s="97" t="str">
        <x:v>Französisch (fr-FR)</x:v>
      </x:c>
      <x:c r="B150" s="97" t="str">
        <x:v>P21</x:v>
      </x:c>
      <x:c r="C150" s="97" t="str">
        <x:v>Barrierefreiheit</x:v>
      </x:c>
      <x:c r="D150" s="98" t="n">
        <x:v>20</x:v>
      </x:c>
      <x:c r="E150" s="98" t="n">
        <x:v>15</x:v>
      </x:c>
      <x:c r="F150" s="98" t="n">
        <x:v>20</x:v>
      </x:c>
      <x:c r="G150" s="98" t="n">
        <x:v>20</x:v>
      </x:c>
      <x:c r="H150" s="98" t="n">
        <x:v>10</x:v>
      </x:c>
      <x:c r="I150" s="98" t="n">
        <x:f>ROUND(AVERAGE(D150:H150),0)</x:f>
        <x:v>17</x:v>
      </x:c>
      <x:c r="J150" s="97" t="str">
        <x:v>Kritischer Laufzeitdefekt: Die französische Route rendert die deutsche Barrierefreiheitserklärung.</x:v>
      </x:c>
    </x:row>
    <x:row r="151" ht="21.600000381469727" hidden="0" customHeight="1">
      <x:c r="A151" s="99" t="str">
        <x:v>Dänisch (da-DK)</x:v>
      </x:c>
      <x:c r="B151" s="99" t="str">
        <x:v>P21</x:v>
      </x:c>
      <x:c r="C151" s="99" t="str">
        <x:v>Barrierefreiheit</x:v>
      </x:c>
      <x:c r="D151" s="100" t="n">
        <x:v>97</x:v>
      </x:c>
      <x:c r="E151" s="100" t="n">
        <x:v>95</x:v>
      </x:c>
      <x:c r="F151" s="100" t="n">
        <x:v>97</x:v>
      </x:c>
      <x:c r="G151" s="100" t="n">
        <x:v>95</x:v>
      </x:c>
      <x:c r="H151" s="100" t="n">
        <x:v>96</x:v>
      </x:c>
      <x:c r="I151" s="100" t="n">
        <x:f>ROUND(AVERAGE(D151:H151),0)</x:f>
        <x:v>96</x:v>
      </x:c>
      <x:c r="J151" s="99" t="str">
        <x:v>Sehr gute bis praktisch muttersprachliche Übersetzungsqualität; keine relevanten Einzelprobleme im geprüften Paket.</x:v>
      </x:c>
    </x:row>
    <x:row r="152" ht="21.600000381469727" hidden="0" customHeight="1">
      <x:c r="A152" s="97" t="str">
        <x:v>Spanisch (es-ES)</x:v>
      </x:c>
      <x:c r="B152" s="97" t="str">
        <x:v>P21</x:v>
      </x:c>
      <x:c r="C152" s="97" t="str">
        <x:v>Barrierefreiheit</x:v>
      </x:c>
      <x:c r="D152" s="97" t="n">
        <x:v>97</x:v>
      </x:c>
      <x:c r="E152" s="97" t="n">
        <x:v>96</x:v>
      </x:c>
      <x:c r="F152" s="97" t="n">
        <x:v>98</x:v>
      </x:c>
      <x:c r="G152" s="97" t="n">
        <x:v>96</x:v>
      </x:c>
      <x:c r="H152" s="97" t="n">
        <x:v>97</x:v>
      </x:c>
      <x:c r="I152" s="97" t="n">
        <x:f>ROUND(AVERAGE(D152:H152),0)</x:f>
        <x:v>97</x:v>
      </x:c>
      <x:c r="J152" s="97" t="str">
        <x:v>Sehr gute bis praktisch muttersprachliche Übersetzungsqualität; keine relevanten Einzelprobleme im geprüften Paket.</x:v>
      </x:c>
    </x:row>
    <x:row r="153" ht="21.600000381469727" hidden="0" customHeight="1">
      <x:c r="A153" s="99" t="str">
        <x:v>Niederländisch (nl-NL)</x:v>
      </x:c>
      <x:c r="B153" s="99" t="str">
        <x:v>P21</x:v>
      </x:c>
      <x:c r="C153" s="99" t="str">
        <x:v>Barrierefreiheit</x:v>
      </x:c>
      <x:c r="D153" s="99" t="n">
        <x:v>97</x:v>
      </x:c>
      <x:c r="E153" s="99" t="n">
        <x:v>96</x:v>
      </x:c>
      <x:c r="F153" s="99" t="n">
        <x:v>98</x:v>
      </x:c>
      <x:c r="G153" s="99" t="n">
        <x:v>96</x:v>
      </x:c>
      <x:c r="H153" s="99" t="n">
        <x:v>97</x:v>
      </x:c>
      <x:c r="I153" s="99" t="n">
        <x:f>ROUND(AVERAGE(D153:H153),0)</x:f>
        <x:v>97</x:v>
      </x:c>
      <x:c r="J153" s="99" t="str">
        <x:v>Sehr gute bis praktisch muttersprachliche Übersetzungsqualität; keine relevanten Einzelprobleme im geprüften Paket.</x:v>
      </x:c>
    </x:row>
    <x:row r="154" ht="21.600000381469727" hidden="0" customHeight="1">
      <x:c r="A154" s="97" t="str">
        <x:v>Norwegisch Bokmål (nb-NO)</x:v>
      </x:c>
      <x:c r="B154" s="97" t="str">
        <x:v>P21</x:v>
      </x:c>
      <x:c r="C154" s="97" t="str">
        <x:v>Barrierefreiheit</x:v>
      </x:c>
      <x:c r="D154" s="97" t="n">
        <x:v>96</x:v>
      </x:c>
      <x:c r="E154" s="97" t="n">
        <x:v>87</x:v>
      </x:c>
      <x:c r="F154" s="97" t="n">
        <x:v>89</x:v>
      </x:c>
      <x:c r="G154" s="97" t="n">
        <x:v>91</x:v>
      </x:c>
      <x:c r="H154" s="97" t="n">
        <x:v>94</x:v>
      </x:c>
      <x:c r="I154" s="97" t="n">
        <x:f>ROUND(AVERAGE(D154:H154),0)</x:f>
        <x:v>91</x:v>
      </x:c>
      <x:c r="J154" s="97" t="str">
        <x:v>Offizielle deutsche Gesetzesnamen sind zulässig, aber die grammatische Einbettung ist nicht nativ.</x:v>
      </x:c>
    </x:row>
    <x:row r="155" ht="21.600000381469727" hidden="0" customHeight="1">
      <x:c r="A155" s="99" t="str">
        <x:v>Schwedisch (sv-SE)</x:v>
      </x:c>
      <x:c r="B155" s="99" t="str">
        <x:v>P21</x:v>
      </x:c>
      <x:c r="C155" s="99" t="str">
        <x:v>Barrierefreiheit</x:v>
      </x:c>
      <x:c r="D155" s="99" t="n">
        <x:v>96</x:v>
      </x:c>
      <x:c r="E155" s="99" t="n">
        <x:v>87</x:v>
      </x:c>
      <x:c r="F155" s="99" t="n">
        <x:v>89</x:v>
      </x:c>
      <x:c r="G155" s="99" t="n">
        <x:v>91</x:v>
      </x:c>
      <x:c r="H155" s="99" t="n">
        <x:v>94</x:v>
      </x:c>
      <x:c r="I155" s="99" t="n">
        <x:f>ROUND(AVERAGE(D155:H155),0)</x:f>
        <x:v>91</x:v>
      </x:c>
      <x:c r="J155" s="99" t="str">
        <x:v>Offizielle deutsche Gesetzesnamen sind zulässig, aber die grammatische Einbettung ist nicht nativ.</x:v>
      </x:c>
    </x:row>
    <x:row r="156" ht="21.600000381469727" hidden="0" customHeight="1">
      <x:c r="A156" s="97" t="str">
        <x:v>Englisch (en)</x:v>
      </x:c>
      <x:c r="B156" s="97" t="str">
        <x:v>P22</x:v>
      </x:c>
      <x:c r="C156" s="97" t="str">
        <x:v>Versand &amp; Zahlung</x:v>
      </x:c>
      <x:c r="D156" s="97" t="n">
        <x:v>97</x:v>
      </x:c>
      <x:c r="E156" s="97" t="n">
        <x:v>96</x:v>
      </x:c>
      <x:c r="F156" s="97" t="n">
        <x:v>98</x:v>
      </x:c>
      <x:c r="G156" s="97" t="n">
        <x:v>96</x:v>
      </x:c>
      <x:c r="H156" s="97" t="n">
        <x:v>96</x:v>
      </x:c>
      <x:c r="I156" s="97" t="n">
        <x:f>ROUND(AVERAGE(D156:H156),0)</x:f>
        <x:v>97</x:v>
      </x:c>
      <x:c r="J156" s="97" t="str">
        <x:v>Sehr gute bis praktisch muttersprachliche Übersetzungsqualität; keine relevanten Einzelprobleme im geprüften Paket.</x:v>
      </x:c>
    </x:row>
    <x:row r="157" ht="21.600000381469727" hidden="0" customHeight="1">
      <x:c r="A157" s="99" t="str">
        <x:v>Französisch (fr-FR)</x:v>
      </x:c>
      <x:c r="B157" s="99" t="str">
        <x:v>P22</x:v>
      </x:c>
      <x:c r="C157" s="99" t="str">
        <x:v>Versand &amp; Zahlung</x:v>
      </x:c>
      <x:c r="D157" s="99" t="n">
        <x:v>15</x:v>
      </x:c>
      <x:c r="E157" s="99" t="n">
        <x:v>12</x:v>
      </x:c>
      <x:c r="F157" s="99" t="n">
        <x:v>18</x:v>
      </x:c>
      <x:c r="G157" s="99" t="n">
        <x:v>15</x:v>
      </x:c>
      <x:c r="H157" s="99" t="n">
        <x:v>10</x:v>
      </x:c>
      <x:c r="I157" s="99" t="n">
        <x:f>ROUND(AVERAGE(D157:H157),0)</x:f>
        <x:v>14</x:v>
      </x:c>
      <x:c r="J157" s="99" t="str">
        <x:v>Kritischer Laufzeitdefekt: Die französische Liefer-/Zahlungsroute rendert deutschen Inhalt.</x:v>
      </x:c>
    </x:row>
    <x:row r="158" ht="21.600000381469727" hidden="0" customHeight="1">
      <x:c r="A158" s="97" t="str">
        <x:v>Dänisch (da-DK)</x:v>
      </x:c>
      <x:c r="B158" s="97" t="str">
        <x:v>P22</x:v>
      </x:c>
      <x:c r="C158" s="97" t="str">
        <x:v>Versand &amp; Zahlung</x:v>
      </x:c>
      <x:c r="D158" s="97" t="n">
        <x:v>98</x:v>
      </x:c>
      <x:c r="E158" s="97" t="n">
        <x:v>97</x:v>
      </x:c>
      <x:c r="F158" s="97" t="n">
        <x:v>98</x:v>
      </x:c>
      <x:c r="G158" s="97" t="n">
        <x:v>97</x:v>
      </x:c>
      <x:c r="H158" s="97" t="n">
        <x:v>97</x:v>
      </x:c>
      <x:c r="I158" s="97" t="n">
        <x:f>ROUND(AVERAGE(D158:H158),0)</x:f>
        <x:v>97</x:v>
      </x:c>
      <x:c r="J158" s="97" t="str">
        <x:v>Sehr gute bis praktisch muttersprachliche Übersetzungsqualität; keine relevanten Einzelprobleme im geprüften Paket.</x:v>
      </x:c>
    </x:row>
    <x:row r="159" ht="21.600000381469727" hidden="0" customHeight="1">
      <x:c r="A159" s="99" t="str">
        <x:v>Spanisch (es-ES)</x:v>
      </x:c>
      <x:c r="B159" s="99" t="str">
        <x:v>P22</x:v>
      </x:c>
      <x:c r="C159" s="99" t="str">
        <x:v>Versand &amp; Zahlung</x:v>
      </x:c>
      <x:c r="D159" s="99" t="n">
        <x:v>98</x:v>
      </x:c>
      <x:c r="E159" s="99" t="n">
        <x:v>97</x:v>
      </x:c>
      <x:c r="F159" s="99" t="n">
        <x:v>98</x:v>
      </x:c>
      <x:c r="G159" s="99" t="n">
        <x:v>97</x:v>
      </x:c>
      <x:c r="H159" s="99" t="n">
        <x:v>97</x:v>
      </x:c>
      <x:c r="I159" s="99" t="n">
        <x:f>ROUND(AVERAGE(D159:H159),0)</x:f>
        <x:v>97</x:v>
      </x:c>
      <x:c r="J159" s="99" t="str">
        <x:v>Sehr gute bis praktisch muttersprachliche Übersetzungsqualität; keine relevanten Einzelprobleme im geprüften Paket.</x:v>
      </x:c>
    </x:row>
    <x:row r="160" ht="21.600000381469727" hidden="0" customHeight="1">
      <x:c r="A160" s="97" t="str">
        <x:v>Niederländisch (nl-NL)</x:v>
      </x:c>
      <x:c r="B160" s="97" t="str">
        <x:v>P22</x:v>
      </x:c>
      <x:c r="C160" s="97" t="str">
        <x:v>Versand &amp; Zahlung</x:v>
      </x:c>
      <x:c r="D160" s="97" t="n">
        <x:v>98</x:v>
      </x:c>
      <x:c r="E160" s="97" t="n">
        <x:v>97</x:v>
      </x:c>
      <x:c r="F160" s="97" t="n">
        <x:v>98</x:v>
      </x:c>
      <x:c r="G160" s="97" t="n">
        <x:v>97</x:v>
      </x:c>
      <x:c r="H160" s="97" t="n">
        <x:v>97</x:v>
      </x:c>
      <x:c r="I160" s="97" t="n">
        <x:f>ROUND(AVERAGE(D160:H160),0)</x:f>
        <x:v>97</x:v>
      </x:c>
      <x:c r="J160" s="97" t="str">
        <x:v>Sehr gute bis praktisch muttersprachliche Übersetzungsqualität; keine relevanten Einzelprobleme im geprüften Paket.</x:v>
      </x:c>
    </x:row>
    <x:row r="161" ht="21.600000381469727" hidden="0" customHeight="1">
      <x:c r="A161" s="99" t="str">
        <x:v>Norwegisch Bokmål (nb-NO)</x:v>
      </x:c>
      <x:c r="B161" s="99" t="str">
        <x:v>P22</x:v>
      </x:c>
      <x:c r="C161" s="99" t="str">
        <x:v>Versand &amp; Zahlung</x:v>
      </x:c>
      <x:c r="D161" s="99" t="n">
        <x:v>98</x:v>
      </x:c>
      <x:c r="E161" s="99" t="n">
        <x:v>97</x:v>
      </x:c>
      <x:c r="F161" s="99" t="n">
        <x:v>98</x:v>
      </x:c>
      <x:c r="G161" s="99" t="n">
        <x:v>97</x:v>
      </x:c>
      <x:c r="H161" s="99" t="n">
        <x:v>97</x:v>
      </x:c>
      <x:c r="I161" s="99" t="n">
        <x:f>ROUND(AVERAGE(D161:H161),0)</x:f>
        <x:v>97</x:v>
      </x:c>
      <x:c r="J161" s="99" t="str">
        <x:v>Sehr gute bis praktisch muttersprachliche Übersetzungsqualität; keine relevanten Einzelprobleme im geprüften Paket.</x:v>
      </x:c>
    </x:row>
    <x:row r="162" ht="21.600000381469727" hidden="0" customHeight="1">
      <x:c r="A162" s="97" t="str">
        <x:v>Schwedisch (sv-SE)</x:v>
      </x:c>
      <x:c r="B162" s="97" t="str">
        <x:v>P22</x:v>
      </x:c>
      <x:c r="C162" s="97" t="str">
        <x:v>Versand &amp; Zahlung</x:v>
      </x:c>
      <x:c r="D162" s="97" t="n">
        <x:v>98</x:v>
      </x:c>
      <x:c r="E162" s="97" t="n">
        <x:v>97</x:v>
      </x:c>
      <x:c r="F162" s="97" t="n">
        <x:v>98</x:v>
      </x:c>
      <x:c r="G162" s="97" t="n">
        <x:v>97</x:v>
      </x:c>
      <x:c r="H162" s="97" t="n">
        <x:v>97</x:v>
      </x:c>
      <x:c r="I162" s="97" t="n">
        <x:f>ROUND(AVERAGE(D162:H162),0)</x:f>
        <x:v>97</x:v>
      </x:c>
      <x:c r="J162" s="97" t="str">
        <x:v>Sehr gute bis praktisch muttersprachliche Übersetzungsqualität; keine relevanten Einzelprobleme im geprüften Paket.</x:v>
      </x:c>
    </x:row>
    <x:row r="163" ht="21.600000381469727" hidden="0" customHeight="1">
      <x:c r="A163" s="99" t="str">
        <x:v>Englisch (en)</x:v>
      </x:c>
      <x:c r="B163" s="99" t="str">
        <x:v>P23</x:v>
      </x:c>
      <x:c r="C163" s="99" t="str">
        <x:v>Widerruf</x:v>
      </x:c>
      <x:c r="D163" s="99" t="n">
        <x:v>96</x:v>
      </x:c>
      <x:c r="E163" s="99" t="n">
        <x:v>95</x:v>
      </x:c>
      <x:c r="F163" s="99" t="n">
        <x:v>97</x:v>
      </x:c>
      <x:c r="G163" s="99" t="n">
        <x:v>95</x:v>
      </x:c>
      <x:c r="H163" s="99" t="n">
        <x:v>95</x:v>
      </x:c>
      <x:c r="I163" s="99" t="n">
        <x:f>ROUND(AVERAGE(D163:H163),0)</x:f>
        <x:v>96</x:v>
      </x:c>
      <x:c r="J163" s="99" t="str">
        <x:v>Sehr gute bis praktisch muttersprachliche Übersetzungsqualität; keine relevanten Einzelprobleme im geprüften Paket.</x:v>
      </x:c>
    </x:row>
    <x:row r="164" ht="21.600000381469727" hidden="0" customHeight="1">
      <x:c r="A164" s="97" t="str">
        <x:v>Französisch (fr-FR)</x:v>
      </x:c>
      <x:c r="B164" s="97" t="str">
        <x:v>P23</x:v>
      </x:c>
      <x:c r="C164" s="97" t="str">
        <x:v>Widerruf</x:v>
      </x:c>
      <x:c r="D164" s="97" t="n">
        <x:v>15</x:v>
      </x:c>
      <x:c r="E164" s="97" t="n">
        <x:v>12</x:v>
      </x:c>
      <x:c r="F164" s="97" t="n">
        <x:v>18</x:v>
      </x:c>
      <x:c r="G164" s="97" t="n">
        <x:v>15</x:v>
      </x:c>
      <x:c r="H164" s="97" t="n">
        <x:v>10</x:v>
      </x:c>
      <x:c r="I164" s="97" t="n">
        <x:f>ROUND(AVERAGE(D164:H164),0)</x:f>
        <x:v>14</x:v>
      </x:c>
      <x:c r="J164" s="97" t="str">
        <x:v>Kritischer Laufzeitdefekt: Widerrufsinformation und Musterformular erscheinen deutsch.</x:v>
      </x:c>
    </x:row>
    <x:row r="165" ht="21.600000381469727" hidden="0" customHeight="1">
      <x:c r="A165" s="99" t="str">
        <x:v>Dänisch (da-DK)</x:v>
      </x:c>
      <x:c r="B165" s="99" t="str">
        <x:v>P23</x:v>
      </x:c>
      <x:c r="C165" s="99" t="str">
        <x:v>Widerruf</x:v>
      </x:c>
      <x:c r="D165" s="99" t="n">
        <x:v>97</x:v>
      </x:c>
      <x:c r="E165" s="99" t="n">
        <x:v>95</x:v>
      </x:c>
      <x:c r="F165" s="99" t="n">
        <x:v>97</x:v>
      </x:c>
      <x:c r="G165" s="99" t="n">
        <x:v>95</x:v>
      </x:c>
      <x:c r="H165" s="99" t="n">
        <x:v>96</x:v>
      </x:c>
      <x:c r="I165" s="99" t="n">
        <x:f>ROUND(AVERAGE(D165:H165),0)</x:f>
        <x:v>96</x:v>
      </x:c>
      <x:c r="J165" s="99" t="str">
        <x:v>Sehr gute bis praktisch muttersprachliche Übersetzungsqualität; keine relevanten Einzelprobleme im geprüften Paket.</x:v>
      </x:c>
    </x:row>
    <x:row r="166" ht="21.600000381469727" hidden="0" customHeight="1">
      <x:c r="A166" s="97" t="str">
        <x:v>Spanisch (es-ES)</x:v>
      </x:c>
      <x:c r="B166" s="97" t="str">
        <x:v>P23</x:v>
      </x:c>
      <x:c r="C166" s="97" t="str">
        <x:v>Widerruf</x:v>
      </x:c>
      <x:c r="D166" s="97" t="n">
        <x:v>97</x:v>
      </x:c>
      <x:c r="E166" s="97" t="n">
        <x:v>95</x:v>
      </x:c>
      <x:c r="F166" s="97" t="n">
        <x:v>97</x:v>
      </x:c>
      <x:c r="G166" s="97" t="n">
        <x:v>95</x:v>
      </x:c>
      <x:c r="H166" s="97" t="n">
        <x:v>96</x:v>
      </x:c>
      <x:c r="I166" s="97" t="n">
        <x:f>ROUND(AVERAGE(D166:H166),0)</x:f>
        <x:v>96</x:v>
      </x:c>
      <x:c r="J166" s="97" t="str">
        <x:v>Sehr gute bis praktisch muttersprachliche Übersetzungsqualität; keine relevanten Einzelprobleme im geprüften Paket.</x:v>
      </x:c>
    </x:row>
    <x:row r="167" ht="21.600000381469727" hidden="0" customHeight="1">
      <x:c r="A167" s="99" t="str">
        <x:v>Niederländisch (nl-NL)</x:v>
      </x:c>
      <x:c r="B167" s="99" t="str">
        <x:v>P23</x:v>
      </x:c>
      <x:c r="C167" s="99" t="str">
        <x:v>Widerruf</x:v>
      </x:c>
      <x:c r="D167" s="99" t="n">
        <x:v>97</x:v>
      </x:c>
      <x:c r="E167" s="99" t="n">
        <x:v>95</x:v>
      </x:c>
      <x:c r="F167" s="99" t="n">
        <x:v>97</x:v>
      </x:c>
      <x:c r="G167" s="99" t="n">
        <x:v>95</x:v>
      </x:c>
      <x:c r="H167" s="99" t="n">
        <x:v>96</x:v>
      </x:c>
      <x:c r="I167" s="99" t="n">
        <x:f>ROUND(AVERAGE(D167:H167),0)</x:f>
        <x:v>96</x:v>
      </x:c>
      <x:c r="J167" s="99" t="str">
        <x:v>Sehr gute bis praktisch muttersprachliche Übersetzungsqualität; keine relevanten Einzelprobleme im geprüften Paket.</x:v>
      </x:c>
    </x:row>
    <x:row r="168" ht="21.600000381469727" hidden="0" customHeight="1">
      <x:c r="A168" s="97" t="str">
        <x:v>Norwegisch Bokmål (nb-NO)</x:v>
      </x:c>
      <x:c r="B168" s="97" t="str">
        <x:v>P23</x:v>
      </x:c>
      <x:c r="C168" s="97" t="str">
        <x:v>Widerruf</x:v>
      </x:c>
      <x:c r="D168" s="97" t="n">
        <x:v>97</x:v>
      </x:c>
      <x:c r="E168" s="97" t="n">
        <x:v>95</x:v>
      </x:c>
      <x:c r="F168" s="97" t="n">
        <x:v>97</x:v>
      </x:c>
      <x:c r="G168" s="97" t="n">
        <x:v>95</x:v>
      </x:c>
      <x:c r="H168" s="97" t="n">
        <x:v>96</x:v>
      </x:c>
      <x:c r="I168" s="97" t="n">
        <x:f>ROUND(AVERAGE(D168:H168),0)</x:f>
        <x:v>96</x:v>
      </x:c>
      <x:c r="J168" s="97" t="str">
        <x:v>Sehr gute bis praktisch muttersprachliche Übersetzungsqualität; keine relevanten Einzelprobleme im geprüften Paket.</x:v>
      </x:c>
    </x:row>
    <x:row r="169" ht="21.600000381469727" hidden="0" customHeight="1">
      <x:c r="A169" s="99" t="str">
        <x:v>Schwedisch (sv-SE)</x:v>
      </x:c>
      <x:c r="B169" s="99" t="str">
        <x:v>P23</x:v>
      </x:c>
      <x:c r="C169" s="99" t="str">
        <x:v>Widerruf</x:v>
      </x:c>
      <x:c r="D169" s="99" t="n">
        <x:v>97</x:v>
      </x:c>
      <x:c r="E169" s="99" t="n">
        <x:v>95</x:v>
      </x:c>
      <x:c r="F169" s="99" t="n">
        <x:v>97</x:v>
      </x:c>
      <x:c r="G169" s="99" t="n">
        <x:v>95</x:v>
      </x:c>
      <x:c r="H169" s="99" t="n">
        <x:v>96</x:v>
      </x:c>
      <x:c r="I169" s="99" t="n">
        <x:f>ROUND(AVERAGE(D169:H169),0)</x:f>
        <x:v>96</x:v>
      </x:c>
      <x:c r="J169" s="99" t="str">
        <x:v>Sehr gute bis praktisch muttersprachliche Übersetzungsqualität; keine relevanten Einzelprobleme im geprüften Paket.</x:v>
      </x:c>
    </x:row>
    <x:row r="170" ht="21.600000381469727" hidden="0" customHeight="1">
      <x:c r="A170" s="97" t="str">
        <x:v>Englisch (en)</x:v>
      </x:c>
      <x:c r="B170" s="97" t="str">
        <x:v>P24</x:v>
      </x:c>
      <x:c r="C170" s="97" t="str">
        <x:v>AGB / Kundeninformationen</x:v>
      </x:c>
      <x:c r="D170" s="97" t="n">
        <x:v>96</x:v>
      </x:c>
      <x:c r="E170" s="97" t="n">
        <x:v>95</x:v>
      </x:c>
      <x:c r="F170" s="97" t="n">
        <x:v>97</x:v>
      </x:c>
      <x:c r="G170" s="97" t="n">
        <x:v>95</x:v>
      </x:c>
      <x:c r="H170" s="97" t="n">
        <x:v>95</x:v>
      </x:c>
      <x:c r="I170" s="97" t="n">
        <x:f>ROUND(AVERAGE(D170:H170),0)</x:f>
        <x:v>96</x:v>
      </x:c>
      <x:c r="J170" s="97" t="str">
        <x:v>Sehr gute bis praktisch muttersprachliche Übersetzungsqualität; keine relevanten Einzelprobleme im geprüften Paket.</x:v>
      </x:c>
    </x:row>
    <x:row r="171" ht="21.600000381469727" hidden="0" customHeight="1">
      <x:c r="A171" s="99" t="str">
        <x:v>Französisch (fr-FR)</x:v>
      </x:c>
      <x:c r="B171" s="99" t="str">
        <x:v>P24</x:v>
      </x:c>
      <x:c r="C171" s="99" t="str">
        <x:v>AGB / Kundeninformationen</x:v>
      </x:c>
      <x:c r="D171" s="99" t="n">
        <x:v>15</x:v>
      </x:c>
      <x:c r="E171" s="99" t="n">
        <x:v>12</x:v>
      </x:c>
      <x:c r="F171" s="99" t="n">
        <x:v>18</x:v>
      </x:c>
      <x:c r="G171" s="99" t="n">
        <x:v>15</x:v>
      </x:c>
      <x:c r="H171" s="99" t="n">
        <x:v>10</x:v>
      </x:c>
      <x:c r="I171" s="99" t="n">
        <x:f>ROUND(AVERAGE(D171:H171),0)</x:f>
        <x:v>14</x:v>
      </x:c>
      <x:c r="J171" s="99" t="str">
        <x:v>Kritischer Laufzeitdefekt: Die CGV-Route rendert deutsche AGB/Kundeninformationen.</x:v>
      </x:c>
    </x:row>
    <x:row r="172" ht="21.600000381469727" hidden="0" customHeight="1">
      <x:c r="A172" s="97" t="str">
        <x:v>Dänisch (da-DK)</x:v>
      </x:c>
      <x:c r="B172" s="97" t="str">
        <x:v>P24</x:v>
      </x:c>
      <x:c r="C172" s="97" t="str">
        <x:v>AGB / Kundeninformationen</x:v>
      </x:c>
      <x:c r="D172" s="97" t="n">
        <x:v>97</x:v>
      </x:c>
      <x:c r="E172" s="97" t="n">
        <x:v>95</x:v>
      </x:c>
      <x:c r="F172" s="97" t="n">
        <x:v>97</x:v>
      </x:c>
      <x:c r="G172" s="97" t="n">
        <x:v>95</x:v>
      </x:c>
      <x:c r="H172" s="97" t="n">
        <x:v>96</x:v>
      </x:c>
      <x:c r="I172" s="97" t="n">
        <x:f>ROUND(AVERAGE(D172:H172),0)</x:f>
        <x:v>96</x:v>
      </x:c>
      <x:c r="J172" s="97" t="str">
        <x:v>Sehr gute bis praktisch muttersprachliche Übersetzungsqualität; keine relevanten Einzelprobleme im geprüften Paket.</x:v>
      </x:c>
    </x:row>
    <x:row r="173" ht="21.600000381469727" hidden="0" customHeight="1">
      <x:c r="A173" s="99" t="str">
        <x:v>Spanisch (es-ES)</x:v>
      </x:c>
      <x:c r="B173" s="99" t="str">
        <x:v>P24</x:v>
      </x:c>
      <x:c r="C173" s="99" t="str">
        <x:v>AGB / Kundeninformationen</x:v>
      </x:c>
      <x:c r="D173" s="99" t="n">
        <x:v>97</x:v>
      </x:c>
      <x:c r="E173" s="99" t="n">
        <x:v>95</x:v>
      </x:c>
      <x:c r="F173" s="99" t="n">
        <x:v>97</x:v>
      </x:c>
      <x:c r="G173" s="99" t="n">
        <x:v>95</x:v>
      </x:c>
      <x:c r="H173" s="99" t="n">
        <x:v>96</x:v>
      </x:c>
      <x:c r="I173" s="99" t="n">
        <x:f>ROUND(AVERAGE(D173:H173),0)</x:f>
        <x:v>96</x:v>
      </x:c>
      <x:c r="J173" s="99" t="str">
        <x:v>Sehr gute bis praktisch muttersprachliche Übersetzungsqualität; keine relevanten Einzelprobleme im geprüften Paket.</x:v>
      </x:c>
    </x:row>
    <x:row r="174" ht="21.600000381469727" hidden="0" customHeight="1">
      <x:c r="A174" s="97" t="str">
        <x:v>Niederländisch (nl-NL)</x:v>
      </x:c>
      <x:c r="B174" s="97" t="str">
        <x:v>P24</x:v>
      </x:c>
      <x:c r="C174" s="97" t="str">
        <x:v>AGB / Kundeninformationen</x:v>
      </x:c>
      <x:c r="D174" s="97" t="n">
        <x:v>97</x:v>
      </x:c>
      <x:c r="E174" s="97" t="n">
        <x:v>95</x:v>
      </x:c>
      <x:c r="F174" s="97" t="n">
        <x:v>97</x:v>
      </x:c>
      <x:c r="G174" s="97" t="n">
        <x:v>95</x:v>
      </x:c>
      <x:c r="H174" s="97" t="n">
        <x:v>96</x:v>
      </x:c>
      <x:c r="I174" s="97" t="n">
        <x:f>ROUND(AVERAGE(D174:H174),0)</x:f>
        <x:v>96</x:v>
      </x:c>
      <x:c r="J174" s="97" t="str">
        <x:v>Sehr gute bis praktisch muttersprachliche Übersetzungsqualität; keine relevanten Einzelprobleme im geprüften Paket.</x:v>
      </x:c>
    </x:row>
    <x:row r="175" ht="21.600000381469727" hidden="0" customHeight="1">
      <x:c r="A175" s="99" t="str">
        <x:v>Norwegisch Bokmål (nb-NO)</x:v>
      </x:c>
      <x:c r="B175" s="99" t="str">
        <x:v>P24</x:v>
      </x:c>
      <x:c r="C175" s="99" t="str">
        <x:v>AGB / Kundeninformationen</x:v>
      </x:c>
      <x:c r="D175" s="99" t="n">
        <x:v>97</x:v>
      </x:c>
      <x:c r="E175" s="99" t="n">
        <x:v>95</x:v>
      </x:c>
      <x:c r="F175" s="99" t="n">
        <x:v>97</x:v>
      </x:c>
      <x:c r="G175" s="99" t="n">
        <x:v>95</x:v>
      </x:c>
      <x:c r="H175" s="99" t="n">
        <x:v>96</x:v>
      </x:c>
      <x:c r="I175" s="99" t="n">
        <x:f>ROUND(AVERAGE(D175:H175),0)</x:f>
        <x:v>96</x:v>
      </x:c>
      <x:c r="J175" s="99" t="str">
        <x:v>Sehr gute bis praktisch muttersprachliche Übersetzungsqualität; keine relevanten Einzelprobleme im geprüften Paket.</x:v>
      </x:c>
    </x:row>
    <x:row r="176" ht="21.600000381469727" hidden="0" customHeight="1">
      <x:c r="A176" s="97" t="str">
        <x:v>Schwedisch (sv-SE)</x:v>
      </x:c>
      <x:c r="B176" s="97" t="str">
        <x:v>P24</x:v>
      </x:c>
      <x:c r="C176" s="97" t="str">
        <x:v>AGB / Kundeninformationen</x:v>
      </x:c>
      <x:c r="D176" s="97" t="n">
        <x:v>97</x:v>
      </x:c>
      <x:c r="E176" s="97" t="n">
        <x:v>95</x:v>
      </x:c>
      <x:c r="F176" s="97" t="n">
        <x:v>97</x:v>
      </x:c>
      <x:c r="G176" s="97" t="n">
        <x:v>95</x:v>
      </x:c>
      <x:c r="H176" s="97" t="n">
        <x:v>96</x:v>
      </x:c>
      <x:c r="I176" s="97" t="n">
        <x:f>ROUND(AVERAGE(D176:H176),0)</x:f>
        <x:v>96</x:v>
      </x:c>
      <x:c r="J176" s="97" t="str">
        <x:v>Sehr gute bis praktisch muttersprachliche Übersetzungsqualität; keine relevanten Einzelprobleme im geprüften Paket.</x:v>
      </x:c>
    </x:row>
    <x:row r="177" ht="21.600000381469727" hidden="0" customHeight="1">
      <x:c r="A177" s="99" t="str">
        <x:v>Englisch (en)</x:v>
      </x:c>
      <x:c r="B177" s="99" t="str">
        <x:v>P25</x:v>
      </x:c>
      <x:c r="C177" s="99" t="str">
        <x:v>Impressum</x:v>
      </x:c>
      <x:c r="D177" s="99" t="n">
        <x:v>94</x:v>
      </x:c>
      <x:c r="E177" s="99" t="n">
        <x:v>92</x:v>
      </x:c>
      <x:c r="F177" s="99" t="n">
        <x:v>96</x:v>
      </x:c>
      <x:c r="G177" s="99" t="n">
        <x:v>94</x:v>
      </x:c>
      <x:c r="H177" s="99" t="n">
        <x:v>93</x:v>
      </x:c>
      <x:c r="I177" s="99" t="n">
        <x:f>ROUND(AVERAGE(D177:H177),0)</x:f>
        <x:v>94</x:v>
      </x:c>
      <x:c r="J177" s="99" t="str">
        <x:v>Sehr gute bis praktisch muttersprachliche Übersetzungsqualität; keine relevanten Einzelprobleme im geprüften Paket.</x:v>
      </x:c>
    </x:row>
    <x:row r="178" ht="21.600000381469727" hidden="0" customHeight="1">
      <x:c r="A178" s="97" t="str">
        <x:v>Französisch (fr-FR)</x:v>
      </x:c>
      <x:c r="B178" s="97" t="str">
        <x:v>P25</x:v>
      </x:c>
      <x:c r="C178" s="97" t="str">
        <x:v>Impressum</x:v>
      </x:c>
      <x:c r="D178" s="97" t="n">
        <x:v>15</x:v>
      </x:c>
      <x:c r="E178" s="97" t="n">
        <x:v>12</x:v>
      </x:c>
      <x:c r="F178" s="97" t="n">
        <x:v>18</x:v>
      </x:c>
      <x:c r="G178" s="97" t="n">
        <x:v>15</x:v>
      </x:c>
      <x:c r="H178" s="97" t="n">
        <x:v>10</x:v>
      </x:c>
      <x:c r="I178" s="97" t="n">
        <x:f>ROUND(AVERAGE(D178:H178),0)</x:f>
        <x:v>14</x:v>
      </x:c>
      <x:c r="J178" s="97" t="str">
        <x:v>Kritischer Laufzeitdefekt: Die französische Impressumsroute liefert deutschen Inhalt aus.</x:v>
      </x:c>
    </x:row>
    <x:row r="179" ht="21.600000381469727" hidden="0" customHeight="1">
      <x:c r="A179" s="99" t="str">
        <x:v>Dänisch (da-DK)</x:v>
      </x:c>
      <x:c r="B179" s="99" t="str">
        <x:v>P25</x:v>
      </x:c>
      <x:c r="C179" s="99" t="str">
        <x:v>Impressum</x:v>
      </x:c>
      <x:c r="D179" s="99" t="n">
        <x:v>95</x:v>
      </x:c>
      <x:c r="E179" s="99" t="n">
        <x:v>84</x:v>
      </x:c>
      <x:c r="F179" s="99" t="n">
        <x:v>89</x:v>
      </x:c>
      <x:c r="G179" s="99" t="n">
        <x:v>78</x:v>
      </x:c>
      <x:c r="H179" s="99" t="n">
        <x:v>91</x:v>
      </x:c>
      <x:c r="I179" s="99" t="n">
        <x:f>ROUND(AVERAGE(D179:H179),0)</x:f>
        <x:v>87</x:v>
      </x:c>
      <x:c r="J179" s="99" t="str">
        <x:v>Inhalt weitgehend nachvollziehbar; deutsche Zitierfragmente („Abs.“, „bis“) bleiben im Zieltext.</x:v>
      </x:c>
    </x:row>
    <x:row r="180" ht="21.600000381469727" hidden="0" customHeight="1">
      <x:c r="A180" s="97" t="str">
        <x:v>Spanisch (es-ES)</x:v>
      </x:c>
      <x:c r="B180" s="97" t="str">
        <x:v>P25</x:v>
      </x:c>
      <x:c r="C180" s="97" t="str">
        <x:v>Impressum</x:v>
      </x:c>
      <x:c r="D180" s="97" t="n">
        <x:v>95</x:v>
      </x:c>
      <x:c r="E180" s="97" t="n">
        <x:v>84</x:v>
      </x:c>
      <x:c r="F180" s="97" t="n">
        <x:v>89</x:v>
      </x:c>
      <x:c r="G180" s="97" t="n">
        <x:v>78</x:v>
      </x:c>
      <x:c r="H180" s="97" t="n">
        <x:v>91</x:v>
      </x:c>
      <x:c r="I180" s="97" t="n">
        <x:f>ROUND(AVERAGE(D180:H180),0)</x:f>
        <x:v>87</x:v>
      </x:c>
      <x:c r="J180" s="97" t="str">
        <x:v>Inhalt weitgehend nachvollziehbar; deutsche Zitierfragmente („Abs.“, „bis“) bleiben im Zieltext.</x:v>
      </x:c>
    </x:row>
    <x:row r="181" ht="21.600000381469727" hidden="0" customHeight="1">
      <x:c r="A181" s="99" t="str">
        <x:v>Niederländisch (nl-NL)</x:v>
      </x:c>
      <x:c r="B181" s="99" t="str">
        <x:v>P25</x:v>
      </x:c>
      <x:c r="C181" s="99" t="str">
        <x:v>Impressum</x:v>
      </x:c>
      <x:c r="D181" s="99" t="n">
        <x:v>95</x:v>
      </x:c>
      <x:c r="E181" s="99" t="n">
        <x:v>84</x:v>
      </x:c>
      <x:c r="F181" s="99" t="n">
        <x:v>89</x:v>
      </x:c>
      <x:c r="G181" s="99" t="n">
        <x:v>78</x:v>
      </x:c>
      <x:c r="H181" s="99" t="n">
        <x:v>91</x:v>
      </x:c>
      <x:c r="I181" s="99" t="n">
        <x:f>ROUND(AVERAGE(D181:H181),0)</x:f>
        <x:v>87</x:v>
      </x:c>
      <x:c r="J181" s="99" t="str">
        <x:v>Inhalt weitgehend nachvollziehbar; deutsche Zitierfragmente („Abs.“, „bis“) bleiben im Zieltext.</x:v>
      </x:c>
    </x:row>
    <x:row r="182" ht="21.600000381469727" hidden="0" customHeight="1">
      <x:c r="A182" s="97" t="str">
        <x:v>Norwegisch Bokmål (nb-NO)</x:v>
      </x:c>
      <x:c r="B182" s="97" t="str">
        <x:v>P25</x:v>
      </x:c>
      <x:c r="C182" s="97" t="str">
        <x:v>Impressum</x:v>
      </x:c>
      <x:c r="D182" s="97" t="n">
        <x:v>95</x:v>
      </x:c>
      <x:c r="E182" s="97" t="n">
        <x:v>84</x:v>
      </x:c>
      <x:c r="F182" s="97" t="n">
        <x:v>89</x:v>
      </x:c>
      <x:c r="G182" s="97" t="n">
        <x:v>78</x:v>
      </x:c>
      <x:c r="H182" s="97" t="n">
        <x:v>91</x:v>
      </x:c>
      <x:c r="I182" s="97" t="n">
        <x:f>ROUND(AVERAGE(D182:H182),0)</x:f>
        <x:v>87</x:v>
      </x:c>
      <x:c r="J182" s="97" t="str">
        <x:v>Inhalt weitgehend nachvollziehbar; deutsche Zitierfragmente („Abs.“, „bis“) bleiben im Zieltext.</x:v>
      </x:c>
    </x:row>
    <x:row r="183" ht="21.600000381469727" hidden="0" customHeight="1">
      <x:c r="A183" s="99" t="str">
        <x:v>Schwedisch (sv-SE)</x:v>
      </x:c>
      <x:c r="B183" s="99" t="str">
        <x:v>P25</x:v>
      </x:c>
      <x:c r="C183" s="99" t="str">
        <x:v>Impressum</x:v>
      </x:c>
      <x:c r="D183" s="99" t="n">
        <x:v>95</x:v>
      </x:c>
      <x:c r="E183" s="99" t="n">
        <x:v>84</x:v>
      </x:c>
      <x:c r="F183" s="99" t="n">
        <x:v>89</x:v>
      </x:c>
      <x:c r="G183" s="99" t="n">
        <x:v>78</x:v>
      </x:c>
      <x:c r="H183" s="99" t="n">
        <x:v>91</x:v>
      </x:c>
      <x:c r="I183" s="99" t="n">
        <x:f>ROUND(AVERAGE(D183:H183),0)</x:f>
        <x:v>87</x:v>
      </x:c>
      <x:c r="J183" s="99" t="str">
        <x:v>Inhalt weitgehend nachvollziehbar; deutsche Zitierfragmente („Abs.“, „bis“) bleiben im Zieltext.</x:v>
      </x:c>
    </x:row>
    <x:row r="184" ht="21.600000381469727" hidden="0" customHeight="1">
      <x:c r="A184" s="97" t="str">
        <x:v>Englisch (en)</x:v>
      </x:c>
      <x:c r="B184" s="97" t="str">
        <x:v>P26A</x:v>
      </x:c>
      <x:c r="C184" s="97" t="str">
        <x:v>Datenschutz – Abschnitte 1–7</x:v>
      </x:c>
      <x:c r="D184" s="97" t="n">
        <x:v>92</x:v>
      </x:c>
      <x:c r="E184" s="97" t="n">
        <x:v>91</x:v>
      </x:c>
      <x:c r="F184" s="97" t="n">
        <x:v>95</x:v>
      </x:c>
      <x:c r="G184" s="97" t="n">
        <x:v>93</x:v>
      </x:c>
      <x:c r="H184" s="97" t="n">
        <x:v>92</x:v>
      </x:c>
      <x:c r="I184" s="97" t="n">
        <x:f>ROUND(AVERAGE(D184:H184),0)</x:f>
        <x:v>93</x:v>
      </x:c>
      <x:c r="J184" s="97" t="str">
        <x:v>Sehr gute bis praktisch muttersprachliche Übersetzungsqualität; keine relevanten Einzelprobleme im geprüften Paket.</x:v>
      </x:c>
    </x:row>
    <x:row r="185" ht="21.600000381469727" hidden="0" customHeight="1">
      <x:c r="A185" s="99" t="str">
        <x:v>Französisch (fr-FR)</x:v>
      </x:c>
      <x:c r="B185" s="99" t="str">
        <x:v>P26A</x:v>
      </x:c>
      <x:c r="C185" s="99" t="str">
        <x:v>Datenschutz – Abschnitte 1–7</x:v>
      </x:c>
      <x:c r="D185" s="99" t="n">
        <x:v>15</x:v>
      </x:c>
      <x:c r="E185" s="99" t="n">
        <x:v>12</x:v>
      </x:c>
      <x:c r="F185" s="99" t="n">
        <x:v>18</x:v>
      </x:c>
      <x:c r="G185" s="99" t="n">
        <x:v>15</x:v>
      </x:c>
      <x:c r="H185" s="99" t="n">
        <x:v>10</x:v>
      </x:c>
      <x:c r="I185" s="99" t="n">
        <x:f>ROUND(AVERAGE(D185:H185),0)</x:f>
        <x:v>14</x:v>
      </x:c>
      <x:c r="J185" s="99" t="str">
        <x:v>Kritischer Laufzeitdefekt: Die französische Datenschutzroute nutzt den deutschen Branch.</x:v>
      </x:c>
    </x:row>
    <x:row r="186" ht="21.600000381469727" hidden="0" customHeight="1">
      <x:c r="A186" s="97" t="str">
        <x:v>Dänisch (da-DK)</x:v>
      </x:c>
      <x:c r="B186" s="97" t="str">
        <x:v>P26A</x:v>
      </x:c>
      <x:c r="C186" s="97" t="str">
        <x:v>Datenschutz – Abschnitte 1–7</x:v>
      </x:c>
      <x:c r="D186" s="97" t="n">
        <x:v>94</x:v>
      </x:c>
      <x:c r="E186" s="97" t="n">
        <x:v>76</x:v>
      </x:c>
      <x:c r="F186" s="97" t="n">
        <x:v>85</x:v>
      </x:c>
      <x:c r="G186" s="97" t="n">
        <x:v>65</x:v>
      </x:c>
      <x:c r="H186" s="97" t="n">
        <x:v>82</x:v>
      </x:c>
      <x:c r="I186" s="97" t="n">
        <x:f>ROUND(AVERAGE(D186:H186),0)</x:f>
        <x:v>80</x:v>
      </x:c>
      <x:c r="J186" s="97" t="str">
        <x:v>Deutlichster Lokalisierungsbedarf: „DSGVO“ und deutsche Artikel-/Absatzsyntax stehen systematisch im Zieltext.</x:v>
      </x:c>
    </x:row>
    <x:row r="187" ht="21.600000381469727" hidden="0" customHeight="1">
      <x:c r="A187" s="99" t="str">
        <x:v>Spanisch (es-ES)</x:v>
      </x:c>
      <x:c r="B187" s="99" t="str">
        <x:v>P26A</x:v>
      </x:c>
      <x:c r="C187" s="99" t="str">
        <x:v>Datenschutz – Abschnitte 1–7</x:v>
      </x:c>
      <x:c r="D187" s="99" t="n">
        <x:v>94</x:v>
      </x:c>
      <x:c r="E187" s="99" t="n">
        <x:v>76</x:v>
      </x:c>
      <x:c r="F187" s="99" t="n">
        <x:v>85</x:v>
      </x:c>
      <x:c r="G187" s="99" t="n">
        <x:v>65</x:v>
      </x:c>
      <x:c r="H187" s="99" t="n">
        <x:v>82</x:v>
      </x:c>
      <x:c r="I187" s="99" t="n">
        <x:f>ROUND(AVERAGE(D187:H187),0)</x:f>
        <x:v>80</x:v>
      </x:c>
      <x:c r="J187" s="99" t="str">
        <x:v>Deutlichster Lokalisierungsbedarf: „DSGVO“ und deutsche Artikel-/Absatzsyntax stehen systematisch im Zieltext.</x:v>
      </x:c>
    </x:row>
    <x:row r="188" ht="21.600000381469727" hidden="0" customHeight="1">
      <x:c r="A188" s="97" t="str">
        <x:v>Niederländisch (nl-NL)</x:v>
      </x:c>
      <x:c r="B188" s="97" t="str">
        <x:v>P26A</x:v>
      </x:c>
      <x:c r="C188" s="97" t="str">
        <x:v>Datenschutz – Abschnitte 1–7</x:v>
      </x:c>
      <x:c r="D188" s="97" t="n">
        <x:v>94</x:v>
      </x:c>
      <x:c r="E188" s="97" t="n">
        <x:v>76</x:v>
      </x:c>
      <x:c r="F188" s="97" t="n">
        <x:v>85</x:v>
      </x:c>
      <x:c r="G188" s="97" t="n">
        <x:v>65</x:v>
      </x:c>
      <x:c r="H188" s="97" t="n">
        <x:v>82</x:v>
      </x:c>
      <x:c r="I188" s="97" t="n">
        <x:f>ROUND(AVERAGE(D188:H188),0)</x:f>
        <x:v>80</x:v>
      </x:c>
      <x:c r="J188" s="97" t="str">
        <x:v>Deutlichster Lokalisierungsbedarf: „DSGVO“ und deutsche Artikel-/Absatzsyntax stehen systematisch im Zieltext.</x:v>
      </x:c>
    </x:row>
    <x:row r="189" ht="21.600000381469727" hidden="0" customHeight="1">
      <x:c r="A189" s="99" t="str">
        <x:v>Norwegisch Bokmål (nb-NO)</x:v>
      </x:c>
      <x:c r="B189" s="99" t="str">
        <x:v>P26A</x:v>
      </x:c>
      <x:c r="C189" s="99" t="str">
        <x:v>Datenschutz – Abschnitte 1–7</x:v>
      </x:c>
      <x:c r="D189" s="99" t="n">
        <x:v>94</x:v>
      </x:c>
      <x:c r="E189" s="99" t="n">
        <x:v>76</x:v>
      </x:c>
      <x:c r="F189" s="99" t="n">
        <x:v>85</x:v>
      </x:c>
      <x:c r="G189" s="99" t="n">
        <x:v>65</x:v>
      </x:c>
      <x:c r="H189" s="99" t="n">
        <x:v>82</x:v>
      </x:c>
      <x:c r="I189" s="99" t="n">
        <x:f>ROUND(AVERAGE(D189:H189),0)</x:f>
        <x:v>80</x:v>
      </x:c>
      <x:c r="J189" s="99" t="str">
        <x:v>Deutlichster Lokalisierungsbedarf: „DSGVO“ und deutsche Artikel-/Absatzsyntax stehen systematisch im Zieltext.</x:v>
      </x:c>
    </x:row>
    <x:row r="190" ht="21.600000381469727" hidden="0" customHeight="1">
      <x:c r="A190" s="97" t="str">
        <x:v>Schwedisch (sv-SE)</x:v>
      </x:c>
      <x:c r="B190" s="97" t="str">
        <x:v>P26A</x:v>
      </x:c>
      <x:c r="C190" s="97" t="str">
        <x:v>Datenschutz – Abschnitte 1–7</x:v>
      </x:c>
      <x:c r="D190" s="97" t="n">
        <x:v>94</x:v>
      </x:c>
      <x:c r="E190" s="97" t="n">
        <x:v>76</x:v>
      </x:c>
      <x:c r="F190" s="97" t="n">
        <x:v>85</x:v>
      </x:c>
      <x:c r="G190" s="97" t="n">
        <x:v>65</x:v>
      </x:c>
      <x:c r="H190" s="97" t="n">
        <x:v>82</x:v>
      </x:c>
      <x:c r="I190" s="97" t="n">
        <x:f>ROUND(AVERAGE(D190:H190),0)</x:f>
        <x:v>80</x:v>
      </x:c>
      <x:c r="J190" s="97" t="str">
        <x:v>Deutlichster Lokalisierungsbedarf: „DSGVO“ und deutsche Artikel-/Absatzsyntax stehen systematisch im Zieltext.</x:v>
      </x:c>
    </x:row>
    <x:row r="191" ht="21.600000381469727" hidden="0" customHeight="1">
      <x:c r="A191" s="99" t="str">
        <x:v>Englisch (en)</x:v>
      </x:c>
      <x:c r="B191" s="99" t="str">
        <x:v>P26B</x:v>
      </x:c>
      <x:c r="C191" s="99" t="str">
        <x:v>Datenschutz – Abschnitte 8–14</x:v>
      </x:c>
      <x:c r="D191" s="99" t="n">
        <x:v>91</x:v>
      </x:c>
      <x:c r="E191" s="99" t="n">
        <x:v>90</x:v>
      </x:c>
      <x:c r="F191" s="99" t="n">
        <x:v>94</x:v>
      </x:c>
      <x:c r="G191" s="99" t="n">
        <x:v>92</x:v>
      </x:c>
      <x:c r="H191" s="99" t="n">
        <x:v>91</x:v>
      </x:c>
      <x:c r="I191" s="99" t="n">
        <x:f>ROUND(AVERAGE(D191:H191),0)</x:f>
        <x:v>92</x:v>
      </x:c>
      <x:c r="J191" s="99" t="str">
        <x:v>Sehr gute bis praktisch muttersprachliche Übersetzungsqualität; keine relevanten Einzelprobleme im geprüften Paket.</x:v>
      </x:c>
    </x:row>
    <x:row r="192" ht="21.600000381469727" hidden="0" customHeight="1">
      <x:c r="A192" s="97" t="str">
        <x:v>Französisch (fr-FR)</x:v>
      </x:c>
      <x:c r="B192" s="97" t="str">
        <x:v>P26B</x:v>
      </x:c>
      <x:c r="C192" s="97" t="str">
        <x:v>Datenschutz – Abschnitte 8–14</x:v>
      </x:c>
      <x:c r="D192" s="97" t="n">
        <x:v>15</x:v>
      </x:c>
      <x:c r="E192" s="97" t="n">
        <x:v>12</x:v>
      </x:c>
      <x:c r="F192" s="97" t="n">
        <x:v>18</x:v>
      </x:c>
      <x:c r="G192" s="97" t="n">
        <x:v>15</x:v>
      </x:c>
      <x:c r="H192" s="97" t="n">
        <x:v>10</x:v>
      </x:c>
      <x:c r="I192" s="97" t="n">
        <x:f>ROUND(AVERAGE(D192:H192),0)</x:f>
        <x:v>14</x:v>
      </x:c>
      <x:c r="J192" s="97" t="str">
        <x:v>Kritischer Laufzeitdefekt: Datenschutzrechte und weitere Abschnitte erscheinen deutsch.</x:v>
      </x:c>
    </x:row>
    <x:row r="193" ht="15" hidden="0" customHeight="1">
      <x:c r="A193" s="99" t="str">
        <x:v>Dänisch (da-DK)</x:v>
      </x:c>
      <x:c r="B193" s="99" t="str">
        <x:v>P26B</x:v>
      </x:c>
      <x:c r="C193" s="99" t="str">
        <x:v>Datenschutz – Abschnitte 8–14</x:v>
      </x:c>
      <x:c r="D193" s="99" t="n">
        <x:v>93</x:v>
      </x:c>
      <x:c r="E193" s="99" t="n">
        <x:v>75</x:v>
      </x:c>
      <x:c r="F193" s="99" t="n">
        <x:v>84</x:v>
      </x:c>
      <x:c r="G193" s="99" t="n">
        <x:v>62</x:v>
      </x:c>
      <x:c r="H193" s="99" t="n">
        <x:v>81</x:v>
      </x:c>
      <x:c r="I193" s="99" t="n">
        <x:f>ROUND(AVERAGE(D193:H193),0)</x:f>
        <x:v>79</x:v>
      </x:c>
      <x:c r="J193" s="99" t="str">
        <x:v>Wie P26A; zusätzlich bleibt die deutsche Abkürzung „AVV“ stehen.</x:v>
      </x:c>
    </x:row>
    <x:row r="194" ht="15" hidden="0" customHeight="1">
      <x:c r="A194" s="97" t="str">
        <x:v>Spanisch (es-ES)</x:v>
      </x:c>
      <x:c r="B194" s="97" t="str">
        <x:v>P26B</x:v>
      </x:c>
      <x:c r="C194" s="97" t="str">
        <x:v>Datenschutz – Abschnitte 8–14</x:v>
      </x:c>
      <x:c r="D194" s="97" t="n">
        <x:v>93</x:v>
      </x:c>
      <x:c r="E194" s="97" t="n">
        <x:v>75</x:v>
      </x:c>
      <x:c r="F194" s="97" t="n">
        <x:v>84</x:v>
      </x:c>
      <x:c r="G194" s="97" t="n">
        <x:v>62</x:v>
      </x:c>
      <x:c r="H194" s="97" t="n">
        <x:v>81</x:v>
      </x:c>
      <x:c r="I194" s="97" t="n">
        <x:f>ROUND(AVERAGE(D194:H194),0)</x:f>
        <x:v>79</x:v>
      </x:c>
      <x:c r="J194" s="97" t="str">
        <x:v>Wie P26A; zusätzlich bleibt die deutsche Abkürzung „AVV“ stehen.</x:v>
      </x:c>
    </x:row>
    <x:row r="195" ht="15" hidden="0" customHeight="1">
      <x:c r="A195" s="99" t="str">
        <x:v>Niederländisch (nl-NL)</x:v>
      </x:c>
      <x:c r="B195" s="99" t="str">
        <x:v>P26B</x:v>
      </x:c>
      <x:c r="C195" s="99" t="str">
        <x:v>Datenschutz – Abschnitte 8–14</x:v>
      </x:c>
      <x:c r="D195" s="99" t="n">
        <x:v>93</x:v>
      </x:c>
      <x:c r="E195" s="99" t="n">
        <x:v>75</x:v>
      </x:c>
      <x:c r="F195" s="99" t="n">
        <x:v>84</x:v>
      </x:c>
      <x:c r="G195" s="99" t="n">
        <x:v>62</x:v>
      </x:c>
      <x:c r="H195" s="99" t="n">
        <x:v>81</x:v>
      </x:c>
      <x:c r="I195" s="99" t="n">
        <x:f>ROUND(AVERAGE(D195:H195),0)</x:f>
        <x:v>79</x:v>
      </x:c>
      <x:c r="J195" s="99" t="str">
        <x:v>Wie P26A; zusätzlich bleibt die deutsche Abkürzung „AVV“ stehen.</x:v>
      </x:c>
    </x:row>
    <x:row r="196" ht="15" hidden="0" customHeight="1">
      <x:c r="A196" s="97" t="str">
        <x:v>Norwegisch Bokmål (nb-NO)</x:v>
      </x:c>
      <x:c r="B196" s="97" t="str">
        <x:v>P26B</x:v>
      </x:c>
      <x:c r="C196" s="97" t="str">
        <x:v>Datenschutz – Abschnitte 8–14</x:v>
      </x:c>
      <x:c r="D196" s="97" t="n">
        <x:v>93</x:v>
      </x:c>
      <x:c r="E196" s="97" t="n">
        <x:v>75</x:v>
      </x:c>
      <x:c r="F196" s="97" t="n">
        <x:v>84</x:v>
      </x:c>
      <x:c r="G196" s="97" t="n">
        <x:v>62</x:v>
      </x:c>
      <x:c r="H196" s="97" t="n">
        <x:v>81</x:v>
      </x:c>
      <x:c r="I196" s="97" t="n">
        <x:f>ROUND(AVERAGE(D196:H196),0)</x:f>
        <x:v>79</x:v>
      </x:c>
      <x:c r="J196" s="97" t="str">
        <x:v>Wie P26A; zusätzlich bleibt die deutsche Abkürzung „AVV“ stehen.</x:v>
      </x:c>
    </x:row>
    <x:row r="197" ht="15" hidden="0" customHeight="1">
      <x:c r="A197" s="99" t="str">
        <x:v>Schwedisch (sv-SE)</x:v>
      </x:c>
      <x:c r="B197" s="99" t="str">
        <x:v>P26B</x:v>
      </x:c>
      <x:c r="C197" s="99" t="str">
        <x:v>Datenschutz – Abschnitte 8–14</x:v>
      </x:c>
      <x:c r="D197" s="99" t="n">
        <x:v>93</x:v>
      </x:c>
      <x:c r="E197" s="99" t="n">
        <x:v>75</x:v>
      </x:c>
      <x:c r="F197" s="99" t="n">
        <x:v>84</x:v>
      </x:c>
      <x:c r="G197" s="99" t="n">
        <x:v>62</x:v>
      </x:c>
      <x:c r="H197" s="99" t="n">
        <x:v>81</x:v>
      </x:c>
      <x:c r="I197" s="99" t="n">
        <x:f>ROUND(AVERAGE(D197:H197),0)</x:f>
        <x:v>79</x:v>
      </x:c>
      <x:c r="J197" s="99" t="str">
        <x:v>Wie P26A; zusätzlich bleibt die deutsche Abkürzung „AVV“ stehen.</x:v>
      </x:c>
    </x:row>
    <x:row r="198" ht="21.600000381469727" hidden="0" customHeight="1">
      <x:c r="A198" s="97" t="str">
        <x:v>Englisch (en)</x:v>
      </x:c>
      <x:c r="B198" s="97" t="str">
        <x:v>P27</x:v>
      </x:c>
      <x:c r="C198" s="97" t="str">
        <x:v>Cross-Page SEO &amp; Accessibility Strings</x:v>
      </x:c>
      <x:c r="D198" s="97" t="n">
        <x:v>35</x:v>
      </x:c>
      <x:c r="E198" s="97" t="n">
        <x:v>40</x:v>
      </x:c>
      <x:c r="F198" s="97" t="n">
        <x:v>50</x:v>
      </x:c>
      <x:c r="G198" s="97" t="n">
        <x:v>45</x:v>
      </x:c>
      <x:c r="H198" s="97" t="n">
        <x:v>30</x:v>
      </x:c>
      <x:c r="I198" s="97" t="n">
        <x:f>ROUND(AVERAGE(D198:H198),0)</x:f>
        <x:v>40</x:v>
      </x:c>
      <x:c r="J198" s="97" t="str">
        <x:v>19 SEO-/Alt-/ARIA-/Titel-Strings sind nicht verifiziert und enthalten deutsche Mastertexte.</x:v>
      </x:c>
    </x:row>
    <x:row r="199" ht="21.600000381469727" hidden="0" customHeight="1">
      <x:c r="A199" s="99" t="str">
        <x:v>Französisch (fr-FR)</x:v>
      </x:c>
      <x:c r="B199" s="99" t="str">
        <x:v>P27</x:v>
      </x:c>
      <x:c r="C199" s="99" t="str">
        <x:v>Cross-Page SEO &amp; Accessibility Strings</x:v>
      </x:c>
      <x:c r="D199" s="99" t="n">
        <x:v>35</x:v>
      </x:c>
      <x:c r="E199" s="99" t="n">
        <x:v>40</x:v>
      </x:c>
      <x:c r="F199" s="99" t="n">
        <x:v>50</x:v>
      </x:c>
      <x:c r="G199" s="99" t="n">
        <x:v>45</x:v>
      </x:c>
      <x:c r="H199" s="99" t="n">
        <x:v>30</x:v>
      </x:c>
      <x:c r="I199" s="99" t="n">
        <x:f>ROUND(AVERAGE(D199:H199),0)</x:f>
        <x:v>40</x:v>
      </x:c>
      <x:c r="J199" s="99" t="str">
        <x:v>19 SEO-/Alt-/ARIA-/Titel-Strings sind nicht verifiziert und enthalten deutsche Mastertexte.</x:v>
      </x:c>
    </x:row>
    <x:row r="200" ht="15" hidden="0" customHeight="1">
      <x:c r="A200" s="97" t="str">
        <x:v>Dänisch (da-DK)</x:v>
      </x:c>
      <x:c r="B200" s="97" t="str">
        <x:v>P27</x:v>
      </x:c>
      <x:c r="C200" s="97" t="str">
        <x:v>Cross-Page SEO &amp; Accessibility Strings</x:v>
      </x:c>
      <x:c r="D200" s="97" t="n">
        <x:v>98</x:v>
      </x:c>
      <x:c r="E200" s="97" t="n">
        <x:v>95</x:v>
      </x:c>
      <x:c r="F200" s="97" t="n">
        <x:v>98</x:v>
      </x:c>
      <x:c r="G200" s="97" t="n">
        <x:v>96</x:v>
      </x:c>
      <x:c r="H200" s="97" t="n">
        <x:v>95</x:v>
      </x:c>
      <x:c r="I200" s="97" t="n">
        <x:f>ROUND(AVERAGE(D200:H200),0)</x:f>
        <x:v>96</x:v>
      </x:c>
      <x:c r="J200" s="97" t="str">
        <x:v>Inhaltlich sehr gut; kleine typografische Inkonsistenz bei Anführungszeichen.</x:v>
      </x:c>
    </x:row>
    <x:row r="201" ht="21.600000381469727" hidden="0" customHeight="1">
      <x:c r="A201" s="99" t="str">
        <x:v>Spanisch (es-ES)</x:v>
      </x:c>
      <x:c r="B201" s="99" t="str">
        <x:v>P27</x:v>
      </x:c>
      <x:c r="C201" s="99" t="str">
        <x:v>Cross-Page SEO &amp; Accessibility Strings</x:v>
      </x:c>
      <x:c r="D201" s="99" t="n">
        <x:v>98</x:v>
      </x:c>
      <x:c r="E201" s="99" t="n">
        <x:v>96</x:v>
      </x:c>
      <x:c r="F201" s="99" t="n">
        <x:v>98</x:v>
      </x:c>
      <x:c r="G201" s="99" t="n">
        <x:v>97</x:v>
      </x:c>
      <x:c r="H201" s="99" t="n">
        <x:v>96</x:v>
      </x:c>
      <x:c r="I201" s="99" t="n">
        <x:f>ROUND(AVERAGE(D201:H201),0)</x:f>
        <x:v>97</x:v>
      </x:c>
      <x:c r="J201" s="99" t="str">
        <x:v>Sehr gute bis praktisch muttersprachliche Übersetzungsqualität; keine relevanten Einzelprobleme im geprüften Paket.</x:v>
      </x:c>
    </x:row>
    <x:row r="202" ht="21.600000381469727" hidden="0" customHeight="1">
      <x:c r="A202" s="97" t="str">
        <x:v>Niederländisch (nl-NL)</x:v>
      </x:c>
      <x:c r="B202" s="97" t="str">
        <x:v>P27</x:v>
      </x:c>
      <x:c r="C202" s="97" t="str">
        <x:v>Cross-Page SEO &amp; Accessibility Strings</x:v>
      </x:c>
      <x:c r="D202" s="97" t="n">
        <x:v>98</x:v>
      </x:c>
      <x:c r="E202" s="97" t="n">
        <x:v>96</x:v>
      </x:c>
      <x:c r="F202" s="97" t="n">
        <x:v>98</x:v>
      </x:c>
      <x:c r="G202" s="97" t="n">
        <x:v>97</x:v>
      </x:c>
      <x:c r="H202" s="97" t="n">
        <x:v>96</x:v>
      </x:c>
      <x:c r="I202" s="97" t="n">
        <x:f>ROUND(AVERAGE(D202:H202),0)</x:f>
        <x:v>97</x:v>
      </x:c>
      <x:c r="J202" s="97" t="str">
        <x:v>Sehr gute bis praktisch muttersprachliche Übersetzungsqualität; keine relevanten Einzelprobleme im geprüften Paket.</x:v>
      </x:c>
    </x:row>
    <x:row r="203" ht="21.600000381469727" hidden="0" customHeight="1">
      <x:c r="A203" s="99" t="str">
        <x:v>Norwegisch Bokmål (nb-NO)</x:v>
      </x:c>
      <x:c r="B203" s="99" t="str">
        <x:v>P27</x:v>
      </x:c>
      <x:c r="C203" s="99" t="str">
        <x:v>Cross-Page SEO &amp; Accessibility Strings</x:v>
      </x:c>
      <x:c r="D203" s="99" t="n">
        <x:v>98</x:v>
      </x:c>
      <x:c r="E203" s="99" t="n">
        <x:v>96</x:v>
      </x:c>
      <x:c r="F203" s="99" t="n">
        <x:v>98</x:v>
      </x:c>
      <x:c r="G203" s="99" t="n">
        <x:v>97</x:v>
      </x:c>
      <x:c r="H203" s="99" t="n">
        <x:v>96</x:v>
      </x:c>
      <x:c r="I203" s="99" t="n">
        <x:f>ROUND(AVERAGE(D203:H203),0)</x:f>
        <x:v>97</x:v>
      </x:c>
      <x:c r="J203" s="99" t="str">
        <x:v>Sehr gute bis praktisch muttersprachliche Übersetzungsqualität; keine relevanten Einzelprobleme im geprüften Paket.</x:v>
      </x:c>
    </x:row>
    <x:row r="204" ht="21.600000381469727" hidden="0" customHeight="1">
      <x:c r="A204" s="97" t="str">
        <x:v>Schwedisch (sv-SE)</x:v>
      </x:c>
      <x:c r="B204" s="97" t="str">
        <x:v>P27</x:v>
      </x:c>
      <x:c r="C204" s="97" t="str">
        <x:v>Cross-Page SEO &amp; Accessibility Strings</x:v>
      </x:c>
      <x:c r="D204" s="97" t="n">
        <x:v>98</x:v>
      </x:c>
      <x:c r="E204" s="97" t="n">
        <x:v>96</x:v>
      </x:c>
      <x:c r="F204" s="97" t="n">
        <x:v>98</x:v>
      </x:c>
      <x:c r="G204" s="97" t="n">
        <x:v>97</x:v>
      </x:c>
      <x:c r="H204" s="97" t="n">
        <x:v>96</x:v>
      </x:c>
      <x:c r="I204" s="97" t="n">
        <x:f>ROUND(AVERAGE(D204:H204),0)</x:f>
        <x:v>97</x:v>
      </x:c>
      <x:c r="J204" s="97" t="str">
        <x:v>Sehr gute bis praktisch muttersprachliche Übersetzungsqualität; keine relevanten Einzelprobleme im geprüften Paket.</x:v>
      </x:c>
    </x:row>
    <x:row r="205" ht="15" hidden="0" customHeight="1">
      <x:c r="A205" s="99" t="str">
        <x:v>Englisch (en)</x:v>
      </x:c>
      <x:c r="B205" s="99" t="str">
        <x:v>P28</x:v>
      </x:c>
      <x:c r="C205" s="99" t="str">
        <x:v>Raster-/Embedded-Text-Audit</x:v>
      </x:c>
      <x:c r="D205" s="99" t="n">
        <x:v>55</x:v>
      </x:c>
      <x:c r="E205" s="99" t="n">
        <x:v>60</x:v>
      </x:c>
      <x:c r="F205" s="99" t="n">
        <x:v>65</x:v>
      </x:c>
      <x:c r="G205" s="99" t="n">
        <x:v>60</x:v>
      </x:c>
      <x:c r="H205" s="99" t="n">
        <x:v>50</x:v>
      </x:c>
      <x:c r="I205" s="99" t="n">
        <x:f>ROUND(AVERAGE(D205:H205),0)</x:f>
        <x:v>58</x:v>
      </x:c>
      <x:c r="J205" s="99" t="str">
        <x:v>Sechs eingebettete Asset-Texte besitzen keine freigegebene englische Zielversion.</x:v>
      </x:c>
    </x:row>
    <x:row r="206" ht="15" hidden="0" customHeight="1">
      <x:c r="A206" s="97" t="str">
        <x:v>Französisch (fr-FR)</x:v>
      </x:c>
      <x:c r="B206" s="97" t="str">
        <x:v>P28</x:v>
      </x:c>
      <x:c r="C206" s="97" t="str">
        <x:v>Raster-/Embedded-Text-Audit</x:v>
      </x:c>
      <x:c r="D206" s="97" t="n">
        <x:v>55</x:v>
      </x:c>
      <x:c r="E206" s="97" t="n">
        <x:v>60</x:v>
      </x:c>
      <x:c r="F206" s="97" t="n">
        <x:v>65</x:v>
      </x:c>
      <x:c r="G206" s="97" t="n">
        <x:v>60</x:v>
      </x:c>
      <x:c r="H206" s="97" t="n">
        <x:v>50</x:v>
      </x:c>
      <x:c r="I206" s="97" t="n">
        <x:f>ROUND(AVERAGE(D206:H206),0)</x:f>
        <x:v>58</x:v>
      </x:c>
      <x:c r="J206" s="97" t="str">
        <x:v>Sechs eingebettete Asset-Texte besitzen keine freigegebene französische Zielversion.</x:v>
      </x:c>
    </x:row>
    <x:row r="207" ht="21.600000381469727" hidden="0" customHeight="1">
      <x:c r="A207" s="99" t="str">
        <x:v>Dänisch (da-DK)</x:v>
      </x:c>
      <x:c r="B207" s="99" t="str">
        <x:v>P28</x:v>
      </x:c>
      <x:c r="C207" s="99" t="str">
        <x:v>Raster-/Embedded-Text-Audit</x:v>
      </x:c>
      <x:c r="D207" s="99" t="n">
        <x:v>99</x:v>
      </x:c>
      <x:c r="E207" s="99" t="n">
        <x:v>98</x:v>
      </x:c>
      <x:c r="F207" s="99" t="n">
        <x:v>99</x:v>
      </x:c>
      <x:c r="G207" s="99" t="n">
        <x:v>98</x:v>
      </x:c>
      <x:c r="H207" s="99" t="n">
        <x:v>98</x:v>
      </x:c>
      <x:c r="I207" s="99" t="n">
        <x:f>ROUND(AVERAGE(D207:H207),0)</x:f>
        <x:v>98</x:v>
      </x:c>
      <x:c r="J207" s="99" t="str">
        <x:v>Sehr gute bis praktisch muttersprachliche Übersetzungsqualität; keine relevanten Einzelprobleme im geprüften Paket.</x:v>
      </x:c>
    </x:row>
    <x:row r="208" ht="21.600000381469727" hidden="0" customHeight="1">
      <x:c r="A208" s="97" t="str">
        <x:v>Spanisch (es-ES)</x:v>
      </x:c>
      <x:c r="B208" s="97" t="str">
        <x:v>P28</x:v>
      </x:c>
      <x:c r="C208" s="97" t="str">
        <x:v>Raster-/Embedded-Text-Audit</x:v>
      </x:c>
      <x:c r="D208" s="97" t="n">
        <x:v>99</x:v>
      </x:c>
      <x:c r="E208" s="97" t="n">
        <x:v>98</x:v>
      </x:c>
      <x:c r="F208" s="97" t="n">
        <x:v>99</x:v>
      </x:c>
      <x:c r="G208" s="97" t="n">
        <x:v>98</x:v>
      </x:c>
      <x:c r="H208" s="97" t="n">
        <x:v>98</x:v>
      </x:c>
      <x:c r="I208" s="97" t="n">
        <x:f>ROUND(AVERAGE(D208:H208),0)</x:f>
        <x:v>98</x:v>
      </x:c>
      <x:c r="J208" s="97" t="str">
        <x:v>Sehr gute bis praktisch muttersprachliche Übersetzungsqualität; keine relevanten Einzelprobleme im geprüften Paket.</x:v>
      </x:c>
    </x:row>
    <x:row r="209" ht="21.600000381469727" hidden="0" customHeight="1">
      <x:c r="A209" s="99" t="str">
        <x:v>Niederländisch (nl-NL)</x:v>
      </x:c>
      <x:c r="B209" s="99" t="str">
        <x:v>P28</x:v>
      </x:c>
      <x:c r="C209" s="99" t="str">
        <x:v>Raster-/Embedded-Text-Audit</x:v>
      </x:c>
      <x:c r="D209" s="99" t="n">
        <x:v>99</x:v>
      </x:c>
      <x:c r="E209" s="99" t="n">
        <x:v>98</x:v>
      </x:c>
      <x:c r="F209" s="99" t="n">
        <x:v>99</x:v>
      </x:c>
      <x:c r="G209" s="99" t="n">
        <x:v>98</x:v>
      </x:c>
      <x:c r="H209" s="99" t="n">
        <x:v>98</x:v>
      </x:c>
      <x:c r="I209" s="99" t="n">
        <x:f>ROUND(AVERAGE(D209:H209),0)</x:f>
        <x:v>98</x:v>
      </x:c>
      <x:c r="J209" s="99" t="str">
        <x:v>Sehr gute bis praktisch muttersprachliche Übersetzungsqualität; keine relevanten Einzelprobleme im geprüften Paket.</x:v>
      </x:c>
    </x:row>
    <x:row r="210" ht="21.600000381469727" hidden="0" customHeight="1">
      <x:c r="A210" s="97" t="str">
        <x:v>Norwegisch Bokmål (nb-NO)</x:v>
      </x:c>
      <x:c r="B210" s="97" t="str">
        <x:v>P28</x:v>
      </x:c>
      <x:c r="C210" s="97" t="str">
        <x:v>Raster-/Embedded-Text-Audit</x:v>
      </x:c>
      <x:c r="D210" s="97" t="n">
        <x:v>99</x:v>
      </x:c>
      <x:c r="E210" s="97" t="n">
        <x:v>98</x:v>
      </x:c>
      <x:c r="F210" s="97" t="n">
        <x:v>99</x:v>
      </x:c>
      <x:c r="G210" s="97" t="n">
        <x:v>98</x:v>
      </x:c>
      <x:c r="H210" s="97" t="n">
        <x:v>98</x:v>
      </x:c>
      <x:c r="I210" s="97" t="n">
        <x:f>ROUND(AVERAGE(D210:H210),0)</x:f>
        <x:v>98</x:v>
      </x:c>
      <x:c r="J210" s="97" t="str">
        <x:v>Sehr gute bis praktisch muttersprachliche Übersetzungsqualität; keine relevanten Einzelprobleme im geprüften Paket.</x:v>
      </x:c>
    </x:row>
    <x:row r="211" ht="21.600000381469727" hidden="0" customHeight="1">
      <x:c r="A211" s="99" t="str">
        <x:v>Schwedisch (sv-SE)</x:v>
      </x:c>
      <x:c r="B211" s="99" t="str">
        <x:v>P28</x:v>
      </x:c>
      <x:c r="C211" s="99" t="str">
        <x:v>Raster-/Embedded-Text-Audit</x:v>
      </x:c>
      <x:c r="D211" s="99" t="n">
        <x:v>99</x:v>
      </x:c>
      <x:c r="E211" s="99" t="n">
        <x:v>98</x:v>
      </x:c>
      <x:c r="F211" s="99" t="n">
        <x:v>99</x:v>
      </x:c>
      <x:c r="G211" s="99" t="n">
        <x:v>98</x:v>
      </x:c>
      <x:c r="H211" s="99" t="n">
        <x:v>98</x:v>
      </x:c>
      <x:c r="I211" s="99" t="n">
        <x:f>ROUND(AVERAGE(D211:H211),0)</x:f>
        <x:v>98</x:v>
      </x:c>
      <x:c r="J211" s="99" t="str">
        <x:v>Sehr gute bis praktisch muttersprachliche Übersetzungsqualität; keine relevanten Einzelprobleme im geprüften Paket.</x:v>
      </x:c>
    </x:row>
  </x:sheetData>
  <x:conditionalFormatting sqref="I2:I151">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aee2ec8f42b0491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29" hidden="0" customWidth="1"/>
    <x:col min="3" max="3" width="27" hidden="0" customWidth="1"/>
    <x:col min="4" max="4" width="38" hidden="0" customWidth="1"/>
    <x:col min="5" max="5" width="42" hidden="0" customWidth="1"/>
    <x:col min="6" max="6" width="58" hidden="0" customWidth="1"/>
  </x:cols>
  <x:sheetData>
    <x:row r="1">
      <x:c r="A1" s="76" t="str">
        <x:v>Ausgangssprache</x:v>
      </x:c>
      <x:c r="B1" s="77" t="str">
        <x:v>Ausgangsbegriff</x:v>
      </x:c>
      <x:c r="C1" s="77" t="str">
        <x:v>Zielsprache</x:v>
      </x:c>
      <x:c r="D1" s="77" t="str">
        <x:v>Empfohlene Übersetzung</x:v>
      </x:c>
      <x:c r="E1" s="77" t="str">
        <x:v>Nicht verwenden</x:v>
      </x:c>
      <x:c r="F1" s="78" t="str">
        <x:v>Hinweis</x:v>
      </x:c>
    </x:row>
    <x:row r="2" ht="15" hidden="0" customHeight="1">
      <x:c r="A2" s="97" t="str">
        <x:v>Deutsch</x:v>
      </x:c>
      <x:c r="B2" s="97" t="str">
        <x:v>Ankerwinde</x:v>
      </x:c>
      <x:c r="C2" s="97" t="str">
        <x:v>Englisch (en)</x:v>
      </x:c>
      <x:c r="D2" s="97" t="str">
        <x:v>anchor windlass</x:v>
      </x:c>
      <x:c r="E2" s="97" t="str">
        <x:v>winch, wenn ausdrücklich die Ankerwinde gemeint ist</x:v>
      </x:c>
      <x:c r="F2" s="97" t="str">
        <x:v>Von allgemeiner Winde/Winch trennen.</x:v>
      </x:c>
    </x:row>
    <x:row r="3" ht="15" hidden="0" customHeight="1">
      <x:c r="A3" s="99" t="str">
        <x:v>Deutsch</x:v>
      </x:c>
      <x:c r="B3" s="99" t="str">
        <x:v>Ankerwinde</x:v>
      </x:c>
      <x:c r="C3" s="99" t="str">
        <x:v>Französisch (fr-FR)</x:v>
      </x:c>
      <x:c r="D3" s="99" t="str">
        <x:v>guindeau</x:v>
      </x:c>
      <x:c r="E3" s="99" t="str">
        <x:v>treuil, wenn ausdrücklich die Ankerwinde gemeint ist</x:v>
      </x:c>
      <x:c r="F3" s="99" t="str">
        <x:v>Maritimer Standardbegriff.</x:v>
      </x:c>
    </x:row>
    <x:row r="4" ht="15" hidden="0" customHeight="1">
      <x:c r="A4" s="97" t="str">
        <x:v>Deutsch</x:v>
      </x:c>
      <x:c r="B4" s="97" t="str">
        <x:v>Ankerwinde</x:v>
      </x:c>
      <x:c r="C4" s="97" t="str">
        <x:v>Dänisch (da-DK)</x:v>
      </x:c>
      <x:c r="D4" s="97" t="str">
        <x:v>ankerspil</x:v>
      </x:c>
      <x:c r="E4" s="97" t="str">
        <x:v>wechselnde Synonyme ohne Grund</x:v>
      </x:c>
      <x:c r="F4" s="97" t="str">
        <x:v>Nicht mit allgemeinem „spil“ verwechseln, wenn explizit die Ankerwinde gemeint ist.</x:v>
      </x:c>
    </x:row>
    <x:row r="5" ht="21.600000381469727" hidden="0" customHeight="1">
      <x:c r="A5" s="99" t="str">
        <x:v>Deutsch</x:v>
      </x:c>
      <x:c r="B5" s="99" t="str">
        <x:v>Ankerwinde</x:v>
      </x:c>
      <x:c r="C5" s="99" t="str">
        <x:v>Spanisch (es-ES)</x:v>
      </x:c>
      <x:c r="D5" s="99" t="str">
        <x:v>molinete de ancla</x:v>
      </x:c>
      <x:c r="E5" s="99" t="str">
        <x:v>molinete del ancla (wenn Glossar auf eine Form festgelegt wird)</x:v>
      </x:c>
      <x:c r="F5" s="99" t="str">
        <x:v>Eine Form websiteweit festlegen.</x:v>
      </x:c>
    </x:row>
    <x:row r="6" ht="15" hidden="0" customHeight="1">
      <x:c r="A6" s="97" t="str">
        <x:v>Deutsch</x:v>
      </x:c>
      <x:c r="B6" s="97" t="str">
        <x:v>Ankerwinde</x:v>
      </x:c>
      <x:c r="C6" s="97" t="str">
        <x:v>Niederländisch (nl-NL)</x:v>
      </x:c>
      <x:c r="D6" s="97" t="str">
        <x:v>ankerlier</x:v>
      </x:c>
      <x:c r="E6" s="97" t="str">
        <x:v>lier ohne Präzisierung</x:v>
      </x:c>
      <x:c r="F6" s="97" t="str">
        <x:v>Bei Ankerfunktion präzisieren.</x:v>
      </x:c>
    </x:row>
    <x:row r="7" ht="15" hidden="0" customHeight="1">
      <x:c r="A7" s="99" t="str">
        <x:v>Deutsch</x:v>
      </x:c>
      <x:c r="B7" s="99" t="str">
        <x:v>Ankerwinde</x:v>
      </x:c>
      <x:c r="C7" s="99" t="str">
        <x:v>Norwegisch Bokmål (nb-NO)</x:v>
      </x:c>
      <x:c r="D7" s="99" t="str">
        <x:v>ankervinsj</x:v>
      </x:c>
      <x:c r="E7" s="99" t="str">
        <x:v>vinsj ohne Präzisierung</x:v>
      </x:c>
      <x:c r="F7" s="99" t="str">
        <x:v>Bei Ankerfunktion präzisieren.</x:v>
      </x:c>
    </x:row>
    <x:row r="8" ht="15" hidden="0" customHeight="1">
      <x:c r="A8" s="97" t="str">
        <x:v>Deutsch</x:v>
      </x:c>
      <x:c r="B8" s="97" t="str">
        <x:v>Ankerwinde</x:v>
      </x:c>
      <x:c r="C8" s="97" t="str">
        <x:v>Schwedisch (sv-SE)</x:v>
      </x:c>
      <x:c r="D8" s="97" t="str">
        <x:v>ankarspel</x:v>
      </x:c>
      <x:c r="E8" s="97" t="str">
        <x:v>vinsch ohne Präzisierung</x:v>
      </x:c>
      <x:c r="F8" s="97" t="str">
        <x:v>Bei Ankerfunktion präzisieren.</x:v>
      </x:c>
    </x:row>
    <x:row r="9" ht="15" hidden="0" customHeight="1">
      <x:c r="A9" s="99" t="str">
        <x:v>Deutsch</x:v>
      </x:c>
      <x:c r="B9" s="99" t="str">
        <x:v>Auftragsverarbeitungsvertrag (AVV)</x:v>
      </x:c>
      <x:c r="C9" s="99" t="str">
        <x:v>Englisch (en)</x:v>
      </x:c>
      <x:c r="D9" s="99" t="str">
        <x:v>data processing agreement (DPA)</x:v>
      </x:c>
      <x:c r="E9" s="99" t="str">
        <x:v>AVV</x:v>
      </x:c>
      <x:c r="F9" s="99" t="str">
        <x:v>Deutsches Kürzel nicht übernehmen.</x:v>
      </x:c>
    </x:row>
    <x:row r="10" ht="15" hidden="0" customHeight="1">
      <x:c r="A10" s="97" t="str">
        <x:v>Deutsch</x:v>
      </x:c>
      <x:c r="B10" s="97" t="str">
        <x:v>Auftragsverarbeitungsvertrag (AVV)</x:v>
      </x:c>
      <x:c r="C10" s="97" t="str">
        <x:v>Französisch (fr-FR)</x:v>
      </x:c>
      <x:c r="D10" s="97" t="str">
        <x:v>contrat de sous-traitance</x:v>
      </x:c>
      <x:c r="E10" s="97" t="str">
        <x:v>AVV</x:v>
      </x:c>
      <x:c r="F10" s="97" t="str">
        <x:v>Bei Bedarf Art.-28-RGPD-Kontext ergänzen; juristisch freigeben.</x:v>
      </x:c>
    </x:row>
    <x:row r="11" ht="15" hidden="0" customHeight="1">
      <x:c r="A11" s="99" t="str">
        <x:v>Deutsch</x:v>
      </x:c>
      <x:c r="B11" s="99" t="str">
        <x:v>Auftragsverarbeitungsvertrag (AVV)</x:v>
      </x:c>
      <x:c r="C11" s="99" t="str">
        <x:v>Dänisch (da-DK)</x:v>
      </x:c>
      <x:c r="D11" s="99" t="str">
        <x:v>databehandleraftale</x:v>
      </x:c>
      <x:c r="E11" s="99" t="str">
        <x:v>… (AVV)</x:v>
      </x:c>
      <x:c r="F11" s="99" t="str">
        <x:v>Deutsches Kürzel nicht unkommentiert übernehmen.</x:v>
      </x:c>
    </x:row>
    <x:row r="12" ht="15" hidden="0" customHeight="1">
      <x:c r="A12" s="97" t="str">
        <x:v>Deutsch</x:v>
      </x:c>
      <x:c r="B12" s="97" t="str">
        <x:v>Auftragsverarbeitungsvertrag (AVV)</x:v>
      </x:c>
      <x:c r="C12" s="97" t="str">
        <x:v>Spanisch (es-ES)</x:v>
      </x:c>
      <x:c r="D12" s="97" t="str">
        <x:v>contrato de encargo del tratamiento</x:v>
      </x:c>
      <x:c r="E12" s="97" t="str">
        <x:v>… (AVV)</x:v>
      </x:c>
      <x:c r="F12" s="97" t="str">
        <x:v>Deutsches Kürzel nicht unkommentiert übernehmen.</x:v>
      </x:c>
    </x:row>
    <x:row r="13" ht="15" hidden="0" customHeight="1">
      <x:c r="A13" s="99" t="str">
        <x:v>Deutsch</x:v>
      </x:c>
      <x:c r="B13" s="99" t="str">
        <x:v>Auftragsverarbeitungsvertrag (AVV)</x:v>
      </x:c>
      <x:c r="C13" s="99" t="str">
        <x:v>Niederländisch (nl-NL)</x:v>
      </x:c>
      <x:c r="D13" s="99" t="str">
        <x:v>verwerkersovereenkomst</x:v>
      </x:c>
      <x:c r="E13" s="99" t="str">
        <x:v>… (AVV)</x:v>
      </x:c>
      <x:c r="F13" s="99" t="str">
        <x:v>Deutsches Kürzel nicht unkommentiert übernehmen.</x:v>
      </x:c>
    </x:row>
    <x:row r="14" ht="15" hidden="0" customHeight="1">
      <x:c r="A14" s="97" t="str">
        <x:v>Deutsch</x:v>
      </x:c>
      <x:c r="B14" s="97" t="str">
        <x:v>Auftragsverarbeitungsvertrag (AVV)</x:v>
      </x:c>
      <x:c r="C14" s="97" t="str">
        <x:v>Norwegisch Bokmål (nb-NO)</x:v>
      </x:c>
      <x:c r="D14" s="97" t="str">
        <x:v>databehandleravtale</x:v>
      </x:c>
      <x:c r="E14" s="97" t="str">
        <x:v>… (AVV)</x:v>
      </x:c>
      <x:c r="F14" s="97" t="str">
        <x:v>Deutsches Kürzel nicht unkommentiert übernehmen.</x:v>
      </x:c>
    </x:row>
    <x:row r="15" ht="15" hidden="0" customHeight="1">
      <x:c r="A15" s="99" t="str">
        <x:v>Deutsch</x:v>
      </x:c>
      <x:c r="B15" s="99" t="str">
        <x:v>Auftragsverarbeitungsvertrag (AVV)</x:v>
      </x:c>
      <x:c r="C15" s="99" t="str">
        <x:v>Schwedisch (sv-SE)</x:v>
      </x:c>
      <x:c r="D15" s="99" t="str">
        <x:v>personuppgiftsbiträdesavtal</x:v>
      </x:c>
      <x:c r="E15" s="99" t="str">
        <x:v>… (AVV)</x:v>
      </x:c>
      <x:c r="F15" s="99" t="str">
        <x:v>Deutsches Kürzel nicht unkommentiert übernehmen.</x:v>
      </x:c>
    </x:row>
    <x:row r="16" ht="15" hidden="0" customHeight="1">
      <x:c r="A16" s="97" t="str">
        <x:v>Deutsch</x:v>
      </x:c>
      <x:c r="B16" s="97" t="str">
        <x:v>Bugstrahlruder</x:v>
      </x:c>
      <x:c r="C16" s="97" t="str">
        <x:v>Englisch (en)</x:v>
      </x:c>
      <x:c r="D16" s="97" t="str">
        <x:v>bow thruster</x:v>
      </x:c>
      <x:c r="E16" s="97" t="str">
        <x:v>front thruster</x:v>
      </x:c>
      <x:c r="F16" s="97" t="str">
        <x:v>Etablierter maritimer Fachbegriff.</x:v>
      </x:c>
    </x:row>
    <x:row r="17" ht="15" hidden="0" customHeight="1">
      <x:c r="A17" s="99" t="str">
        <x:v>Deutsch</x:v>
      </x:c>
      <x:c r="B17" s="99" t="str">
        <x:v>Bugstrahlruder</x:v>
      </x:c>
      <x:c r="C17" s="99" t="str">
        <x:v>Französisch (fr-FR)</x:v>
      </x:c>
      <x:c r="D17" s="99" t="str">
        <x:v>propulseur d'étrave</x:v>
      </x:c>
      <x:c r="E17" s="99" t="str">
        <x:v>hélice avant</x:v>
      </x:c>
      <x:c r="F17" s="99" t="str">
        <x:v>Websiteweit konsistent verwenden.</x:v>
      </x:c>
    </x:row>
    <x:row r="18" ht="15" hidden="0" customHeight="1">
      <x:c r="A18" s="97" t="str">
        <x:v>Deutsch</x:v>
      </x:c>
      <x:c r="B18" s="97" t="str">
        <x:v>Bugstrahlruder</x:v>
      </x:c>
      <x:c r="C18" s="97" t="str">
        <x:v>Dänisch (da-DK)</x:v>
      </x:c>
      <x:c r="D18" s="97" t="str">
        <x:v>bovthruster</x:v>
      </x:c>
      <x:c r="E18" s="97" t="str">
        <x:v>varierende Umschreibungen</x:v>
      </x:c>
      <x:c r="F18" s="97" t="str">
        <x:v>Durchgängig in Anleitung, FAQ und Konfigurator verwenden.</x:v>
      </x:c>
    </x:row>
    <x:row r="19" ht="15" hidden="0" customHeight="1">
      <x:c r="A19" s="99" t="str">
        <x:v>Deutsch</x:v>
      </x:c>
      <x:c r="B19" s="99" t="str">
        <x:v>Bugstrahlruder</x:v>
      </x:c>
      <x:c r="C19" s="99" t="str">
        <x:v>Spanisch (es-ES)</x:v>
      </x:c>
      <x:c r="D19" s="99" t="str">
        <x:v>propulsor de proa</x:v>
      </x:c>
      <x:c r="E19" s="99" t="str">
        <x:v>propulsor delantero</x:v>
      </x:c>
      <x:c r="F19" s="99" t="str">
        <x:v>Maritimer Standardbegriff.</x:v>
      </x:c>
    </x:row>
    <x:row r="20" ht="15" hidden="0" customHeight="1">
      <x:c r="A20" s="97" t="str">
        <x:v>Deutsch</x:v>
      </x:c>
      <x:c r="B20" s="97" t="str">
        <x:v>Bugstrahlruder</x:v>
      </x:c>
      <x:c r="C20" s="97" t="str">
        <x:v>Niederländisch (nl-NL)</x:v>
      </x:c>
      <x:c r="D20" s="97" t="str">
        <x:v>boegschroef</x:v>
      </x:c>
      <x:c r="E20" s="97" t="str">
        <x:v>bediening van de boeg (wenn das Gerät gemeint ist)</x:v>
      </x:c>
      <x:c r="F20" s="97" t="str">
        <x:v>Gerät und Bedienung terminologisch trennen.</x:v>
      </x:c>
    </x:row>
    <x:row r="21" ht="15" hidden="0" customHeight="1">
      <x:c r="A21" s="99" t="str">
        <x:v>Deutsch</x:v>
      </x:c>
      <x:c r="B21" s="99" t="str">
        <x:v>Bugstrahlruder</x:v>
      </x:c>
      <x:c r="C21" s="99" t="str">
        <x:v>Norwegisch Bokmål (nb-NO)</x:v>
      </x:c>
      <x:c r="D21" s="99" t="str">
        <x:v>baugthruster</x:v>
      </x:c>
      <x:c r="E21" s="99" t="str">
        <x:v>varierende Umschreibungen</x:v>
      </x:c>
      <x:c r="F21" s="99" t="str">
        <x:v>Durchgängig verwenden.</x:v>
      </x:c>
    </x:row>
    <x:row r="22" ht="15" hidden="0" customHeight="1">
      <x:c r="A22" s="97" t="str">
        <x:v>Deutsch</x:v>
      </x:c>
      <x:c r="B22" s="97" t="str">
        <x:v>Bugstrahlruder</x:v>
      </x:c>
      <x:c r="C22" s="97" t="str">
        <x:v>Schwedisch (sv-SE)</x:v>
      </x:c>
      <x:c r="D22" s="97" t="str">
        <x:v>bogpropeller</x:v>
      </x:c>
      <x:c r="E22" s="97" t="str">
        <x:v>varierende Umschreibungen</x:v>
      </x:c>
      <x:c r="F22" s="97" t="str">
        <x:v>Durchgängig verwenden.</x:v>
      </x:c>
    </x:row>
    <x:row r="23" ht="15" hidden="0" customHeight="1">
      <x:c r="A23" s="99" t="str">
        <x:v>Deutsch</x:v>
      </x:c>
      <x:c r="B23" s="99" t="str">
        <x:v>Datenschutz-Grundverordnung (DSGVO)</x:v>
      </x:c>
      <x:c r="C23" s="99" t="str">
        <x:v>Englisch (en)</x:v>
      </x:c>
      <x:c r="D23" s="99" t="str">
        <x:v>General Data Protection Regulation (GDPR)</x:v>
      </x:c>
      <x:c r="E23" s="99" t="str">
        <x:v>DSGVO</x:v>
      </x:c>
      <x:c r="F23" s="99" t="str">
        <x:v>EU-Rechtsakt zielsprachlich benennen.</x:v>
      </x:c>
    </x:row>
    <x:row r="24" ht="21.600000381469727" hidden="0" customHeight="1">
      <x:c r="A24" s="97" t="str">
        <x:v>Deutsch</x:v>
      </x:c>
      <x:c r="B24" s="97" t="str">
        <x:v>Datenschutz-Grundverordnung (DSGVO)</x:v>
      </x:c>
      <x:c r="C24" s="97" t="str">
        <x:v>Französisch (fr-FR)</x:v>
      </x:c>
      <x:c r="D24" s="97" t="str">
        <x:v>Règlement général sur la protection des données (RGPD)</x:v>
      </x:c>
      <x:c r="E24" s="97" t="str">
        <x:v>DSGVO</x:v>
      </x:c>
      <x:c r="F24" s="97" t="str">
        <x:v>Etablierte französische Bezeichnung und Abkürzung.</x:v>
      </x:c>
    </x:row>
    <x:row r="25" ht="15" hidden="0" customHeight="1">
      <x:c r="A25" s="99" t="str">
        <x:v>Deutsch</x:v>
      </x:c>
      <x:c r="B25" s="99" t="str">
        <x:v>Datenschutz-Grundverordnung (DSGVO)</x:v>
      </x:c>
      <x:c r="C25" s="99" t="str">
        <x:v>Dänisch (da-DK)</x:v>
      </x:c>
      <x:c r="D25" s="99" t="str">
        <x:v>databeskyttelsesforordningen (GDPR)</x:v>
      </x:c>
      <x:c r="E25" s="99" t="str">
        <x:v>Datenschutz-Grundverordnung (DSGVO)</x:v>
      </x:c>
      <x:c r="F25" s="99" t="str">
        <x:v>EU-Rechtsakt zielsprachlich benennen.</x:v>
      </x:c>
    </x:row>
    <x:row r="26" ht="15" hidden="0" customHeight="1">
      <x:c r="A26" s="97" t="str">
        <x:v>Deutsch</x:v>
      </x:c>
      <x:c r="B26" s="97" t="str">
        <x:v>Datenschutz-Grundverordnung (DSGVO)</x:v>
      </x:c>
      <x:c r="C26" s="97" t="str">
        <x:v>Spanisch (es-ES)</x:v>
      </x:c>
      <x:c r="D26" s="97" t="str">
        <x:v>Reglamento General de Protección de Datos (RGPD)</x:v>
      </x:c>
      <x:c r="E26" s="97" t="str">
        <x:v>Datenschutz-Grundverordnung (DSGVO)</x:v>
      </x:c>
      <x:c r="F26" s="97" t="str">
        <x:v>Spanisches Standardkürzel RGPD.</x:v>
      </x:c>
    </x:row>
    <x:row r="27" ht="15" hidden="0" customHeight="1">
      <x:c r="A27" s="99" t="str">
        <x:v>Deutsch</x:v>
      </x:c>
      <x:c r="B27" s="99" t="str">
        <x:v>Datenschutz-Grundverordnung (DSGVO)</x:v>
      </x:c>
      <x:c r="C27" s="99" t="str">
        <x:v>Niederländisch (nl-NL)</x:v>
      </x:c>
      <x:c r="D27" s="99" t="str">
        <x:v>Algemene verordening gegevensbescherming (AVG)</x:v>
      </x:c>
      <x:c r="E27" s="99" t="str">
        <x:v>Datenschutz-Grundverordnung (DSGVO)</x:v>
      </x:c>
      <x:c r="F27" s="99" t="str">
        <x:v>Niederländisches Standardkürzel AVG.</x:v>
      </x:c>
    </x:row>
    <x:row r="28" ht="15" hidden="0" customHeight="1">
      <x:c r="A28" s="97" t="str">
        <x:v>Deutsch</x:v>
      </x:c>
      <x:c r="B28" s="97" t="str">
        <x:v>Datenschutz-Grundverordnung (DSGVO)</x:v>
      </x:c>
      <x:c r="C28" s="97" t="str">
        <x:v>Norwegisch Bokmål (nb-NO)</x:v>
      </x:c>
      <x:c r="D28" s="97" t="str">
        <x:v>personvernforordningen (GDPR)</x:v>
      </x:c>
      <x:c r="E28" s="97" t="str">
        <x:v>Datenschutz-Grundverordnung (DSGVO)</x:v>
      </x:c>
      <x:c r="F28" s="97" t="str">
        <x:v>Norwegische Bezeichnung + international verständliches GDPR.</x:v>
      </x:c>
    </x:row>
    <x:row r="29" ht="15" hidden="0" customHeight="1">
      <x:c r="A29" s="99" t="str">
        <x:v>Deutsch</x:v>
      </x:c>
      <x:c r="B29" s="99" t="str">
        <x:v>Datenschutz-Grundverordnung (DSGVO)</x:v>
      </x:c>
      <x:c r="C29" s="99" t="str">
        <x:v>Schwedisch (sv-SE)</x:v>
      </x:c>
      <x:c r="D29" s="99" t="str">
        <x:v>dataskyddsförordningen (GDPR)</x:v>
      </x:c>
      <x:c r="E29" s="99" t="str">
        <x:v>Datenschutz-Grundverordnung (DSGVO)</x:v>
      </x:c>
      <x:c r="F29" s="99" t="str">
        <x:v>Schwedische Bezeichnung + GDPR.</x:v>
      </x:c>
    </x:row>
    <x:row r="30" ht="15" hidden="0" customHeight="1">
      <x:c r="A30" s="97" t="str">
        <x:v>Deutsch</x:v>
      </x:c>
      <x:c r="B30" s="97" t="str">
        <x:v>Einbauservice</x:v>
      </x:c>
      <x:c r="C30" s="97" t="str">
        <x:v>Englisch (en)</x:v>
      </x:c>
      <x:c r="D30" s="97" t="str">
        <x:v>installation service</x:v>
      </x:c>
      <x:c r="E30" s="97" t="str">
        <x:v>installation partner, wenn der Service gemeint ist</x:v>
      </x:c>
      <x:c r="F30" s="97" t="str">
        <x:v>Service von Partner/Händler trennen.</x:v>
      </x:c>
    </x:row>
    <x:row r="31" ht="15" hidden="0" customHeight="1">
      <x:c r="A31" s="99" t="str">
        <x:v>Deutsch</x:v>
      </x:c>
      <x:c r="B31" s="99" t="str">
        <x:v>Einbauservice</x:v>
      </x:c>
      <x:c r="C31" s="99" t="str">
        <x:v>Französisch (fr-FR)</x:v>
      </x:c>
      <x:c r="D31" s="99" t="str">
        <x:v>service d'installation</x:v>
      </x:c>
      <x:c r="E31" s="99" t="str">
        <x:v>partenaire installateur, wenn der Service gemeint ist</x:v>
      </x:c>
      <x:c r="F31" s="99" t="str">
        <x:v>Service von Partner/Händler trennen.</x:v>
      </x:c>
    </x:row>
    <x:row r="32" ht="15" hidden="0" customHeight="1">
      <x:c r="A32" s="97" t="str">
        <x:v>Deutsch</x:v>
      </x:c>
      <x:c r="B32" s="97" t="str">
        <x:v>Einbauservice</x:v>
      </x:c>
      <x:c r="C32" s="97" t="str">
        <x:v>Dänisch (da-DK)</x:v>
      </x:c>
      <x:c r="D32" s="97" t="str">
        <x:v>installationsservice</x:v>
      </x:c>
      <x:c r="E32" s="97" t="str">
        <x:v>monteringsservice ohne Styleguide</x:v>
      </x:c>
      <x:c r="F32" s="97" t="str">
        <x:v>Einheitlich in CTA/FAQ/Konfigurator.</x:v>
      </x:c>
    </x:row>
    <x:row r="33" ht="15" hidden="0" customHeight="1">
      <x:c r="A33" s="99" t="str">
        <x:v>Deutsch</x:v>
      </x:c>
      <x:c r="B33" s="99" t="str">
        <x:v>Einbauservice</x:v>
      </x:c>
      <x:c r="C33" s="99" t="str">
        <x:v>Spanisch (es-ES)</x:v>
      </x:c>
      <x:c r="D33" s="99" t="str">
        <x:v>servicio de instalación</x:v>
      </x:c>
      <x:c r="E33" s="99" t="str">
        <x:v>servicio de montaje ohne definierte Präferenz</x:v>
      </x:c>
      <x:c r="F33" s="99" t="str">
        <x:v>Einheitlich verwenden.</x:v>
      </x:c>
    </x:row>
    <x:row r="34" ht="15" hidden="0" customHeight="1">
      <x:c r="A34" s="97" t="str">
        <x:v>Deutsch</x:v>
      </x:c>
      <x:c r="B34" s="97" t="str">
        <x:v>Einbauservice</x:v>
      </x:c>
      <x:c r="C34" s="97" t="str">
        <x:v>Niederländisch (nl-NL)</x:v>
      </x:c>
      <x:c r="D34" s="97" t="str">
        <x:v>installatieservice</x:v>
      </x:c>
      <x:c r="E34" s="97" t="str">
        <x:v>montageservice ohne definierte Präferenz</x:v>
      </x:c>
      <x:c r="F34" s="97" t="str">
        <x:v>Einheitlich verwenden.</x:v>
      </x:c>
    </x:row>
    <x:row r="35" ht="15" hidden="0" customHeight="1">
      <x:c r="A35" s="99" t="str">
        <x:v>Deutsch</x:v>
      </x:c>
      <x:c r="B35" s="99" t="str">
        <x:v>Einbauservice</x:v>
      </x:c>
      <x:c r="C35" s="99" t="str">
        <x:v>Norwegisch Bokmål (nb-NO)</x:v>
      </x:c>
      <x:c r="D35" s="99" t="str">
        <x:v>installasjonstjeneste</x:v>
      </x:c>
      <x:c r="E35" s="99" t="str">
        <x:v>installasjonsservice ohne definierte Präferenz</x:v>
      </x:c>
      <x:c r="F35" s="99" t="str">
        <x:v>Eine Form festlegen.</x:v>
      </x:c>
    </x:row>
    <x:row r="36" ht="15" hidden="0" customHeight="1">
      <x:c r="A36" s="97" t="str">
        <x:v>Deutsch</x:v>
      </x:c>
      <x:c r="B36" s="97" t="str">
        <x:v>Einbauservice</x:v>
      </x:c>
      <x:c r="C36" s="97" t="str">
        <x:v>Schwedisch (sv-SE)</x:v>
      </x:c>
      <x:c r="D36" s="97" t="str">
        <x:v>installationstjänst</x:v>
      </x:c>
      <x:c r="E36" s="97" t="str">
        <x:v>installationsservice ohne definierte Präferenz</x:v>
      </x:c>
      <x:c r="F36" s="97" t="str">
        <x:v>Eine Form festlegen.</x:v>
      </x:c>
    </x:row>
    <x:row r="37" ht="15" hidden="0" customHeight="1">
      <x:c r="A37" s="99" t="str">
        <x:v>Deutsch</x:v>
      </x:c>
      <x:c r="B37" s="99" t="str">
        <x:v>Händler</x:v>
      </x:c>
      <x:c r="C37" s="99" t="str">
        <x:v>Englisch (en)</x:v>
      </x:c>
      <x:c r="D37" s="99" t="str">
        <x:v>dealer</x:v>
      </x:c>
      <x:c r="E37" s="99" t="str">
        <x:v>retailer/dealer-Mix ohne Kontextregel</x:v>
      </x:c>
      <x:c r="F37" s="99" t="str">
        <x:v>Für Finder und Partnerkontext eine Form festlegen.</x:v>
      </x:c>
    </x:row>
    <x:row r="38" ht="15" hidden="0" customHeight="1">
      <x:c r="A38" s="97" t="str">
        <x:v>Deutsch</x:v>
      </x:c>
      <x:c r="B38" s="97" t="str">
        <x:v>Händler</x:v>
      </x:c>
      <x:c r="C38" s="97" t="str">
        <x:v>Französisch (fr-FR)</x:v>
      </x:c>
      <x:c r="D38" s="97" t="str">
        <x:v>revendeur</x:v>
      </x:c>
      <x:c r="E38" s="97" t="str">
        <x:v>dealer</x:v>
      </x:c>
      <x:c r="F38" s="97" t="str">
        <x:v>Durchgängig verwenden.</x:v>
      </x:c>
    </x:row>
    <x:row r="39" ht="15" hidden="0" customHeight="1">
      <x:c r="A39" s="99" t="str">
        <x:v>Deutsch</x:v>
      </x:c>
      <x:c r="B39" s="99" t="str">
        <x:v>Händler</x:v>
      </x:c>
      <x:c r="C39" s="99" t="str">
        <x:v>Dänisch (da-DK)</x:v>
      </x:c>
      <x:c r="D39" s="99" t="str">
        <x:v>forhandler</x:v>
      </x:c>
      <x:c r="E39" s="99" t="str">
        <x:v>forhandler/dealer-Mix</x:v>
      </x:c>
      <x:c r="F39" s="99" t="str">
        <x:v>Für Händlerfinder und Installation durchgängig.</x:v>
      </x:c>
    </x:row>
    <x:row r="40" ht="15" hidden="0" customHeight="1">
      <x:c r="A40" s="97" t="str">
        <x:v>Deutsch</x:v>
      </x:c>
      <x:c r="B40" s="97" t="str">
        <x:v>Händler</x:v>
      </x:c>
      <x:c r="C40" s="97" t="str">
        <x:v>Spanisch (es-ES)</x:v>
      </x:c>
      <x:c r="D40" s="97" t="str">
        <x:v>distribuidor</x:v>
      </x:c>
      <x:c r="E40" s="97" t="str">
        <x:v>dealer</x:v>
      </x:c>
      <x:c r="F40" s="97" t="str">
        <x:v>Aktueller Website-Stil ist spanisch.</x:v>
      </x:c>
    </x:row>
    <x:row r="41" ht="15" hidden="0" customHeight="1">
      <x:c r="A41" s="99" t="str">
        <x:v>Deutsch</x:v>
      </x:c>
      <x:c r="B41" s="99" t="str">
        <x:v>Händler</x:v>
      </x:c>
      <x:c r="C41" s="99" t="str">
        <x:v>Niederländisch (nl-NL)</x:v>
      </x:c>
      <x:c r="D41" s="99" t="str">
        <x:v>dealer</x:v>
      </x:c>
      <x:c r="E41" s="99" t="str">
        <x:v>verkoper/handelaar im selben UX-Kontext</x:v>
      </x:c>
      <x:c r="F41" s="99" t="str">
        <x:v>Im Händlerfinder bereits etabliert.</x:v>
      </x:c>
    </x:row>
    <x:row r="42" ht="15" hidden="0" customHeight="1">
      <x:c r="A42" s="97" t="str">
        <x:v>Deutsch</x:v>
      </x:c>
      <x:c r="B42" s="97" t="str">
        <x:v>Händler</x:v>
      </x:c>
      <x:c r="C42" s="97" t="str">
        <x:v>Norwegisch Bokmål (nb-NO)</x:v>
      </x:c>
      <x:c r="D42" s="97" t="str">
        <x:v>forhandler</x:v>
      </x:c>
      <x:c r="E42" s="97" t="str">
        <x:v>dealer</x:v>
      </x:c>
      <x:c r="F42" s="97" t="str">
        <x:v>Durchgängig verwenden.</x:v>
      </x:c>
    </x:row>
    <x:row r="43" ht="15" hidden="0" customHeight="1">
      <x:c r="A43" s="99" t="str">
        <x:v>Deutsch</x:v>
      </x:c>
      <x:c r="B43" s="99" t="str">
        <x:v>Händler</x:v>
      </x:c>
      <x:c r="C43" s="99" t="str">
        <x:v>Schwedisch (sv-SE)</x:v>
      </x:c>
      <x:c r="D43" s="99" t="str">
        <x:v>återförsäljare</x:v>
      </x:c>
      <x:c r="E43" s="99" t="str">
        <x:v>dealer</x:v>
      </x:c>
      <x:c r="F43" s="99" t="str">
        <x:v>Durchgängig verwenden.</x:v>
      </x:c>
    </x:row>
    <x:row r="44" ht="15" hidden="0" customHeight="1">
      <x:c r="A44" s="97" t="str">
        <x:v>Deutsch</x:v>
      </x:c>
      <x:c r="B44" s="97" t="str">
        <x:v>Heckstrahlruder</x:v>
      </x:c>
      <x:c r="C44" s="97" t="str">
        <x:v>Englisch (en)</x:v>
      </x:c>
      <x:c r="D44" s="97" t="str">
        <x:v>stern thruster</x:v>
      </x:c>
      <x:c r="E44" s="97" t="str">
        <x:v>rear thruster / stern area</x:v>
      </x:c>
      <x:c r="F44" s="97" t="str">
        <x:v>Gerät eindeutig vom Heckbereich trennen.</x:v>
      </x:c>
    </x:row>
    <x:row r="45" ht="15" hidden="0" customHeight="1">
      <x:c r="A45" s="99" t="str">
        <x:v>Deutsch</x:v>
      </x:c>
      <x:c r="B45" s="99" t="str">
        <x:v>Heckstrahlruder</x:v>
      </x:c>
      <x:c r="C45" s="99" t="str">
        <x:v>Französisch (fr-FR)</x:v>
      </x:c>
      <x:c r="D45" s="99" t="str">
        <x:v>propulseur de poupe</x:v>
      </x:c>
      <x:c r="E45" s="99" t="str">
        <x:v>hélice arrière</x:v>
      </x:c>
      <x:c r="F45" s="99" t="str">
        <x:v>Websiteweit konsistent verwenden.</x:v>
      </x:c>
    </x:row>
    <x:row r="46" ht="15" hidden="0" customHeight="1">
      <x:c r="A46" s="97" t="str">
        <x:v>Deutsch</x:v>
      </x:c>
      <x:c r="B46" s="97" t="str">
        <x:v>Heckstrahlruder</x:v>
      </x:c>
      <x:c r="C46" s="97" t="str">
        <x:v>Dänisch (da-DK)</x:v>
      </x:c>
      <x:c r="D46" s="97" t="str">
        <x:v>hækthruster</x:v>
      </x:c>
      <x:c r="E46" s="97" t="str">
        <x:v>varierende Umschreibungen</x:v>
      </x:c>
      <x:c r="F46" s="97" t="str">
        <x:v>Durchgängig verwenden.</x:v>
      </x:c>
    </x:row>
    <x:row r="47" ht="15" hidden="0" customHeight="1">
      <x:c r="A47" s="99" t="str">
        <x:v>Deutsch</x:v>
      </x:c>
      <x:c r="B47" s="99" t="str">
        <x:v>Heckstrahlruder</x:v>
      </x:c>
      <x:c r="C47" s="99" t="str">
        <x:v>Spanisch (es-ES)</x:v>
      </x:c>
      <x:c r="D47" s="99" t="str">
        <x:v>propulsor de popa</x:v>
      </x:c>
      <x:c r="E47" s="99" t="str">
        <x:v>propulsor trasero</x:v>
      </x:c>
      <x:c r="F47" s="99" t="str">
        <x:v>Maritimer Standardbegriff.</x:v>
      </x:c>
    </x:row>
    <x:row r="48" ht="15" hidden="0" customHeight="1">
      <x:c r="A48" s="97" t="str">
        <x:v>Deutsch</x:v>
      </x:c>
      <x:c r="B48" s="97" t="str">
        <x:v>Heckstrahlruder</x:v>
      </x:c>
      <x:c r="C48" s="97" t="str">
        <x:v>Niederländisch (nl-NL)</x:v>
      </x:c>
      <x:c r="D48" s="97" t="str">
        <x:v>hekschroef</x:v>
      </x:c>
      <x:c r="E48" s="97" t="str">
        <x:v>achterschip, wenn das Heckstrahlruder gemeint ist</x:v>
      </x:c>
      <x:c r="F48" s="97" t="str">
        <x:v>Besonders sicherheitsrelevant in Installationshinweisen.</x:v>
      </x:c>
    </x:row>
    <x:row r="49" ht="15" hidden="0" customHeight="1">
      <x:c r="A49" s="99" t="str">
        <x:v>Deutsch</x:v>
      </x:c>
      <x:c r="B49" s="99" t="str">
        <x:v>Heckstrahlruder</x:v>
      </x:c>
      <x:c r="C49" s="99" t="str">
        <x:v>Norwegisch Bokmål (nb-NO)</x:v>
      </x:c>
      <x:c r="D49" s="99" t="str">
        <x:v>hekkthruster</x:v>
      </x:c>
      <x:c r="E49" s="99" t="str">
        <x:v>varierende Umschreibungen</x:v>
      </x:c>
      <x:c r="F49" s="99" t="str">
        <x:v>Durchgängig verwenden.</x:v>
      </x:c>
    </x:row>
    <x:row r="50" ht="15" hidden="0" customHeight="1">
      <x:c r="A50" s="97" t="str">
        <x:v>Deutsch</x:v>
      </x:c>
      <x:c r="B50" s="97" t="str">
        <x:v>Heckstrahlruder</x:v>
      </x:c>
      <x:c r="C50" s="97" t="str">
        <x:v>Schwedisch (sv-SE)</x:v>
      </x:c>
      <x:c r="D50" s="97" t="str">
        <x:v>akterpropeller</x:v>
      </x:c>
      <x:c r="E50" s="97" t="str">
        <x:v>varierende Umschreibungen</x:v>
      </x:c>
      <x:c r="F50" s="97" t="str">
        <x:v>Durchgängig verwenden.</x:v>
      </x:c>
    </x:row>
    <x:row r="51" ht="15" hidden="0" customHeight="1">
      <x:c r="A51" s="99" t="str">
        <x:v>Deutsch</x:v>
      </x:c>
      <x:c r="B51" s="99" t="str">
        <x:v>Konfigurator</x:v>
      </x:c>
      <x:c r="C51" s="99" t="str">
        <x:v>Englisch (en)</x:v>
      </x:c>
      <x:c r="D51" s="99" t="str">
        <x:v>configurator</x:v>
      </x:c>
      <x:c r="E51" s="99" t="str">
        <x:v>configuration als Toolname</x:v>
      </x:c>
      <x:c r="F51" s="99" t="str">
        <x:v>Tool und Vorgang trennen.</x:v>
      </x:c>
    </x:row>
    <x:row r="52" ht="15" hidden="0" customHeight="1">
      <x:c r="A52" s="97" t="str">
        <x:v>Deutsch</x:v>
      </x:c>
      <x:c r="B52" s="97" t="str">
        <x:v>Konfigurator</x:v>
      </x:c>
      <x:c r="C52" s="97" t="str">
        <x:v>Französisch (fr-FR)</x:v>
      </x:c>
      <x:c r="D52" s="97" t="str">
        <x:v>configurateur</x:v>
      </x:c>
      <x:c r="E52" s="97" t="str">
        <x:v>configuration als Toolname</x:v>
      </x:c>
      <x:c r="F52" s="97" t="str">
        <x:v>Tool und Vorgang trennen.</x:v>
      </x:c>
    </x:row>
    <x:row r="53" ht="15" hidden="0" customHeight="1">
      <x:c r="A53" s="99" t="str">
        <x:v>Deutsch</x:v>
      </x:c>
      <x:c r="B53" s="99" t="str">
        <x:v>Konfigurator</x:v>
      </x:c>
      <x:c r="C53" s="99" t="str">
        <x:v>Dänisch (da-DK)</x:v>
      </x:c>
      <x:c r="D53" s="99" t="str">
        <x:v>konfigurator</x:v>
      </x:c>
      <x:c r="E53" s="99" t="str">
        <x:v>unterschiedliche Umschreibungen</x:v>
      </x:c>
      <x:c r="F53" s="99" t="str">
        <x:v>UI-Nomen und Seitentitel einheitlich.</x:v>
      </x:c>
    </x:row>
    <x:row r="54" ht="21.600000381469727" hidden="0" customHeight="1">
      <x:c r="A54" s="97" t="str">
        <x:v>Deutsch</x:v>
      </x:c>
      <x:c r="B54" s="97" t="str">
        <x:v>Konfigurator</x:v>
      </x:c>
      <x:c r="C54" s="97" t="str">
        <x:v>Spanisch (es-ES)</x:v>
      </x:c>
      <x:c r="D54" s="97" t="str">
        <x:v>configurador</x:v>
      </x:c>
      <x:c r="E54" s="97" t="str">
        <x:v>configurador de forma wechselnd mit „configuración“ als Seitennomen</x:v>
      </x:c>
      <x:c r="F54" s="97" t="str">
        <x:v>„configuración“ für den Vorgang, „configurador“ für das Tool.</x:v>
      </x:c>
    </x:row>
    <x:row r="55" ht="15" hidden="0" customHeight="1">
      <x:c r="A55" s="99" t="str">
        <x:v>Deutsch</x:v>
      </x:c>
      <x:c r="B55" s="99" t="str">
        <x:v>Konfigurator</x:v>
      </x:c>
      <x:c r="C55" s="99" t="str">
        <x:v>Niederländisch (nl-NL)</x:v>
      </x:c>
      <x:c r="D55" s="99" t="str">
        <x:v>configurator</x:v>
      </x:c>
      <x:c r="E55" s="99" t="str">
        <x:v>configuratie als Toolname</x:v>
      </x:c>
      <x:c r="F55" s="99" t="str">
        <x:v>„configuratie“ für Ergebnis/Vorgang.</x:v>
      </x:c>
    </x:row>
    <x:row r="56" ht="15" hidden="0" customHeight="1">
      <x:c r="A56" s="97" t="str">
        <x:v>Deutsch</x:v>
      </x:c>
      <x:c r="B56" s="97" t="str">
        <x:v>Konfigurator</x:v>
      </x:c>
      <x:c r="C56" s="97" t="str">
        <x:v>Norwegisch Bokmål (nb-NO)</x:v>
      </x:c>
      <x:c r="D56" s="97" t="str">
        <x:v>konfigurator</x:v>
      </x:c>
      <x:c r="E56" s="97" t="str">
        <x:v>konfigurasjon als Toolname</x:v>
      </x:c>
      <x:c r="F56" s="97" t="str">
        <x:v>Tool und Vorgang trennen.</x:v>
      </x:c>
    </x:row>
    <x:row r="57" ht="15" hidden="0" customHeight="1">
      <x:c r="A57" s="99" t="str">
        <x:v>Deutsch</x:v>
      </x:c>
      <x:c r="B57" s="99" t="str">
        <x:v>Konfigurator</x:v>
      </x:c>
      <x:c r="C57" s="99" t="str">
        <x:v>Schwedisch (sv-SE)</x:v>
      </x:c>
      <x:c r="D57" s="99" t="str">
        <x:v>konfigurator</x:v>
      </x:c>
      <x:c r="E57" s="99" t="str">
        <x:v>konfiguration als Toolname</x:v>
      </x:c>
      <x:c r="F57" s="99" t="str">
        <x:v>Tool und Vorgang trennen.</x:v>
      </x:c>
    </x:row>
    <x:row r="58" ht="15" hidden="0" customHeight="1">
      <x:c r="A58" s="97" t="str">
        <x:v>Deutsch</x:v>
      </x:c>
      <x:c r="B58" s="97" t="str">
        <x:v>Kopplungsmodus</x:v>
      </x:c>
      <x:c r="C58" s="97" t="str">
        <x:v>Englisch (en)</x:v>
      </x:c>
      <x:c r="D58" s="97" t="str">
        <x:v>pairing mode</x:v>
      </x:c>
      <x:c r="E58" s="97" t="str">
        <x:v>connection mode</x:v>
      </x:c>
      <x:c r="F58" s="97" t="str">
        <x:v>Bluetooth-/Gerätekopplung.</x:v>
      </x:c>
    </x:row>
    <x:row r="59" ht="15" hidden="0" customHeight="1">
      <x:c r="A59" s="99" t="str">
        <x:v>Deutsch</x:v>
      </x:c>
      <x:c r="B59" s="99" t="str">
        <x:v>Kopplungsmodus</x:v>
      </x:c>
      <x:c r="C59" s="99" t="str">
        <x:v>Französisch (fr-FR)</x:v>
      </x:c>
      <x:c r="D59" s="99" t="str">
        <x:v>mode d'appairage</x:v>
      </x:c>
      <x:c r="E59" s="99" t="str">
        <x:v>mode de connexion</x:v>
      </x:c>
      <x:c r="F59" s="99" t="str">
        <x:v>Bluetooth-/Gerätekopplung.</x:v>
      </x:c>
    </x:row>
    <x:row r="60" ht="15" hidden="0" customHeight="1">
      <x:c r="A60" s="97" t="str">
        <x:v>Deutsch</x:v>
      </x:c>
      <x:c r="B60" s="97" t="str">
        <x:v>Kopplungsmodus</x:v>
      </x:c>
      <x:c r="C60" s="97" t="str">
        <x:v>Dänisch (da-DK)</x:v>
      </x:c>
      <x:c r="D60" s="97" t="str">
        <x:v>parringstilstand</x:v>
      </x:c>
      <x:c r="E60" s="97" t="str">
        <x:v>koblingstilstand</x:v>
      </x:c>
      <x:c r="F60" s="97" t="str">
        <x:v>Bluetooth-/Gerätekopplung klar benennen.</x:v>
      </x:c>
    </x:row>
    <x:row r="61" ht="15" hidden="0" customHeight="1">
      <x:c r="A61" s="99" t="str">
        <x:v>Deutsch</x:v>
      </x:c>
      <x:c r="B61" s="99" t="str">
        <x:v>Kopplungsmodus</x:v>
      </x:c>
      <x:c r="C61" s="99" t="str">
        <x:v>Spanisch (es-ES)</x:v>
      </x:c>
      <x:c r="D61" s="99" t="str">
        <x:v>modo de emparejamiento</x:v>
      </x:c>
      <x:c r="E61" s="99" t="str">
        <x:v>modo de vinculación ohne Styleguide</x:v>
      </x:c>
      <x:c r="F61" s="99" t="str">
        <x:v>App-/Bluetooth-Terminologie vereinheitlichen.</x:v>
      </x:c>
    </x:row>
    <x:row r="62" ht="15" hidden="0" customHeight="1">
      <x:c r="A62" s="97" t="str">
        <x:v>Deutsch</x:v>
      </x:c>
      <x:c r="B62" s="97" t="str">
        <x:v>Kopplungsmodus</x:v>
      </x:c>
      <x:c r="C62" s="97" t="str">
        <x:v>Niederländisch (nl-NL)</x:v>
      </x:c>
      <x:c r="D62" s="97" t="str">
        <x:v>koppelingsmodus</x:v>
      </x:c>
      <x:c r="E62" s="97" t="str">
        <x:v>pairing mode</x:v>
      </x:c>
      <x:c r="F62" s="97" t="str">
        <x:v>Bestehenden niederländischen UI-Begriff beibehalten.</x:v>
      </x:c>
    </x:row>
    <x:row r="63" ht="15" hidden="0" customHeight="1">
      <x:c r="A63" s="99" t="str">
        <x:v>Deutsch</x:v>
      </x:c>
      <x:c r="B63" s="99" t="str">
        <x:v>Kopplungsmodus</x:v>
      </x:c>
      <x:c r="C63" s="99" t="str">
        <x:v>Norwegisch Bokmål (nb-NO)</x:v>
      </x:c>
      <x:c r="D63" s="99" t="str">
        <x:v>paringsmodus</x:v>
      </x:c>
      <x:c r="E63" s="99" t="str">
        <x:v>koblingsmodus</x:v>
      </x:c>
      <x:c r="F63" s="99" t="str">
        <x:v>Bluetooth-Kontext.</x:v>
      </x:c>
    </x:row>
    <x:row r="64" ht="15" hidden="0" customHeight="1">
      <x:c r="A64" s="97" t="str">
        <x:v>Deutsch</x:v>
      </x:c>
      <x:c r="B64" s="97" t="str">
        <x:v>Kopplungsmodus</x:v>
      </x:c>
      <x:c r="C64" s="97" t="str">
        <x:v>Schwedisch (sv-SE)</x:v>
      </x:c>
      <x:c r="D64" s="97" t="str">
        <x:v>parkopplingsläge</x:v>
      </x:c>
      <x:c r="E64" s="97" t="str">
        <x:v>parningsläge</x:v>
      </x:c>
      <x:c r="F64" s="97" t="str">
        <x:v>Schwedische Gerätekopplung.</x:v>
      </x:c>
    </x:row>
    <x:row r="65" ht="15" hidden="0" customHeight="1">
      <x:c r="A65" s="99" t="str">
        <x:v>Deutsch</x:v>
      </x:c>
      <x:c r="B65" s="99" t="str">
        <x:v>Paketrabatt</x:v>
      </x:c>
      <x:c r="C65" s="99" t="str">
        <x:v>Englisch (en)</x:v>
      </x:c>
      <x:c r="D65" s="99" t="str">
        <x:v>package discount</x:v>
      </x:c>
      <x:c r="E65" s="99" t="str">
        <x:v>package price deduction</x:v>
      </x:c>
      <x:c r="F65" s="99" t="str">
        <x:v>Kurzer Commerce-/UI-Begriff.</x:v>
      </x:c>
    </x:row>
    <x:row r="66" ht="15" hidden="0" customHeight="1">
      <x:c r="A66" s="97" t="str">
        <x:v>Deutsch</x:v>
      </x:c>
      <x:c r="B66" s="97" t="str">
        <x:v>Paketrabatt</x:v>
      </x:c>
      <x:c r="C66" s="97" t="str">
        <x:v>Französisch (fr-FR)</x:v>
      </x:c>
      <x:c r="D66" s="97" t="str">
        <x:v>remise sur le pack</x:v>
      </x:c>
      <x:c r="E66" s="97" t="str">
        <x:v>déduction du prix du pack</x:v>
      </x:c>
      <x:c r="F66" s="97" t="str">
        <x:v>Kurzer Commerce-/UI-Begriff.</x:v>
      </x:c>
    </x:row>
    <x:row r="67" ht="15" hidden="0" customHeight="1">
      <x:c r="A67" s="99" t="str">
        <x:v>Deutsch</x:v>
      </x:c>
      <x:c r="B67" s="99" t="str">
        <x:v>Paketrabatt</x:v>
      </x:c>
      <x:c r="C67" s="99" t="str">
        <x:v>Schwedisch (sv-SE)</x:v>
      </x:c>
      <x:c r="D67" s="99" t="str">
        <x:v>Paketrabatt</x:v>
      </x:c>
      <x:c r="E67" s="99" t="str">
        <x:v>Paketprisavdrag</x:v>
      </x:c>
      <x:c r="F67" s="99" t="str">
        <x:v>Kurzer, üblicher Commerce-/UI-Begriff.</x:v>
      </x:c>
    </x:row>
    <x:row r="68" ht="15" hidden="0" customHeight="1">
      <x:c r="A68" s="97" t="str">
        <x:v>Deutsch</x:v>
      </x:c>
      <x:c r="B68" s="97" t="str">
        <x:v>Steuerstand</x:v>
      </x:c>
      <x:c r="C68" s="97" t="str">
        <x:v>Englisch (en)</x:v>
      </x:c>
      <x:c r="D68" s="97" t="str">
        <x:v>helm station</x:v>
      </x:c>
      <x:c r="E68" s="97" t="str">
        <x:v>control place</x:v>
      </x:c>
      <x:c r="F68" s="97" t="str">
        <x:v>Maritimer B2B-Begriff.</x:v>
      </x:c>
    </x:row>
    <x:row r="69" ht="15" hidden="0" customHeight="1">
      <x:c r="A69" s="99" t="str">
        <x:v>Deutsch</x:v>
      </x:c>
      <x:c r="B69" s="99" t="str">
        <x:v>Steuerstand</x:v>
      </x:c>
      <x:c r="C69" s="99" t="str">
        <x:v>Französisch (fr-FR)</x:v>
      </x:c>
      <x:c r="D69" s="99" t="str">
        <x:v>poste de pilotage</x:v>
      </x:c>
      <x:c r="E69" s="99" t="str">
        <x:v>poste de contrôle ohne Kontext</x:v>
      </x:c>
      <x:c r="F69" s="99" t="str">
        <x:v>Physischer Bootssteuerstand.</x:v>
      </x:c>
    </x:row>
    <x:row r="70" ht="15" hidden="0" customHeight="1">
      <x:c r="A70" s="97" t="str">
        <x:v>Deutsch</x:v>
      </x:c>
      <x:c r="B70" s="97" t="str">
        <x:v>Steuerstand</x:v>
      </x:c>
      <x:c r="C70" s="97" t="str">
        <x:v>Dänisch (da-DK)</x:v>
      </x:c>
      <x:c r="D70" s="97" t="str">
        <x:v>styreplads</x:v>
      </x:c>
      <x:c r="E70" s="97" t="str">
        <x:v>wechselnde Synonyme ohne Kontextgrund</x:v>
      </x:c>
      <x:c r="F70" s="97" t="str">
        <x:v>Bereits mehrfach konsistent verwendet.</x:v>
      </x:c>
    </x:row>
    <x:row r="71" ht="21.600000381469727" hidden="0" customHeight="1">
      <x:c r="A71" s="99" t="str">
        <x:v>Deutsch</x:v>
      </x:c>
      <x:c r="B71" s="99" t="str">
        <x:v>Steuerstand</x:v>
      </x:c>
      <x:c r="C71" s="99" t="str">
        <x:v>Spanisch (es-ES)</x:v>
      </x:c>
      <x:c r="D71" s="99" t="str">
        <x:v>puesto de gobierno</x:v>
      </x:c>
      <x:c r="E71" s="99" t="str">
        <x:v>puesto de control (wenn der physische Bootssteuerstand gemeint ist)</x:v>
      </x:c>
      <x:c r="F71" s="99" t="str">
        <x:v>Maritimer B2B-Begriff.</x:v>
      </x:c>
    </x:row>
    <x:row r="72" ht="15" hidden="0" customHeight="1">
      <x:c r="A72" s="97" t="str">
        <x:v>Deutsch</x:v>
      </x:c>
      <x:c r="B72" s="97" t="str">
        <x:v>Steuerstand</x:v>
      </x:c>
      <x:c r="C72" s="97" t="str">
        <x:v>Niederländisch (nl-NL)</x:v>
      </x:c>
      <x:c r="D72" s="97" t="str">
        <x:v>stuurstand</x:v>
      </x:c>
      <x:c r="E72" s="97" t="str">
        <x:v>bedieningsplek</x:v>
      </x:c>
      <x:c r="F72" s="97" t="str">
        <x:v>Bereits konsistent verwendet.</x:v>
      </x:c>
    </x:row>
    <x:row r="73" ht="15" hidden="0" customHeight="1">
      <x:c r="A73" s="99" t="str">
        <x:v>Deutsch</x:v>
      </x:c>
      <x:c r="B73" s="99" t="str">
        <x:v>Steuerstand</x:v>
      </x:c>
      <x:c r="C73" s="99" t="str">
        <x:v>Norwegisch Bokmål (nb-NO)</x:v>
      </x:c>
      <x:c r="D73" s="99" t="str">
        <x:v>styreposisjon</x:v>
      </x:c>
      <x:c r="E73" s="99" t="str">
        <x:v>styreplass ohne definierte Präferenz</x:v>
      </x:c>
      <x:c r="F73" s="99" t="str">
        <x:v>Eine Variante im Glossar festlegen.</x:v>
      </x:c>
    </x:row>
    <x:row r="74" ht="15" hidden="0" customHeight="1">
      <x:c r="A74" s="97" t="str">
        <x:v>Deutsch</x:v>
      </x:c>
      <x:c r="B74" s="97" t="str">
        <x:v>Steuerstand</x:v>
      </x:c>
      <x:c r="C74" s="97" t="str">
        <x:v>Schwedisch (sv-SE)</x:v>
      </x:c>
      <x:c r="D74" s="97" t="str">
        <x:v>förarplats</x:v>
      </x:c>
      <x:c r="E74" s="97" t="str">
        <x:v>styrplats ohne definierte Präferenz</x:v>
      </x:c>
      <x:c r="F74" s="97" t="str">
        <x:v>Aktueller Produkttext verwendet „förarplats“ konsistent.</x:v>
      </x:c>
    </x:row>
    <x:row r="75" ht="15" hidden="0" customHeight="1">
      <x:c r="A75" s="99" t="str">
        <x:v>Deutsch</x:v>
      </x:c>
      <x:c r="B75" s="99" t="str">
        <x:v>Strahlruder</x:v>
      </x:c>
      <x:c r="C75" s="99" t="str">
        <x:v>Englisch (en)</x:v>
      </x:c>
      <x:c r="D75" s="99" t="str">
        <x:v>thruster</x:v>
      </x:c>
      <x:c r="E75" s="99" t="str">
        <x:v>generic propeller</x:v>
      </x:c>
      <x:c r="F75" s="99" t="str">
        <x:v>Generischer Marinebegriff; Bug/Heck spezifizieren.</x:v>
      </x:c>
    </x:row>
    <x:row r="76" ht="15" hidden="0" customHeight="1">
      <x:c r="A76" s="97" t="str">
        <x:v>Deutsch</x:v>
      </x:c>
      <x:c r="B76" s="97" t="str">
        <x:v>Strahlruder</x:v>
      </x:c>
      <x:c r="C76" s="97" t="str">
        <x:v>Französisch (fr-FR)</x:v>
      </x:c>
      <x:c r="D76" s="97" t="str">
        <x:v>propulseur de manœuvre</x:v>
      </x:c>
      <x:c r="E76" s="97" t="str">
        <x:v>hélice ohne technischen Kontext</x:v>
      </x:c>
      <x:c r="F76" s="97" t="str">
        <x:v>Generischer Begriff; Bug/Heck gezielt benennen.</x:v>
      </x:c>
    </x:row>
    <x:row r="77" ht="21.600000381469727" hidden="0" customHeight="1">
      <x:c r="A77" s="99" t="str">
        <x:v>Deutsch</x:v>
      </x:c>
      <x:c r="B77" s="99" t="str">
        <x:v>Strahlruder</x:v>
      </x:c>
      <x:c r="C77" s="99" t="str">
        <x:v>Dänisch (da-DK)</x:v>
      </x:c>
      <x:c r="D77" s="99" t="str">
        <x:v>thruster</x:v>
      </x:c>
      <x:c r="E77" s="99" t="str">
        <x:v>direkte Mischformen ohne Festlegung</x:v>
      </x:c>
      <x:c r="F77" s="99" t="str">
        <x:v>Generischer Produkt-/Technikbegriff; für Bug/Heck die festgelegten Unterbegriffe verwenden.</x:v>
      </x:c>
    </x:row>
    <x:row r="78" ht="15" hidden="0" customHeight="1">
      <x:c r="A78" s="97" t="str">
        <x:v>Deutsch</x:v>
      </x:c>
      <x:c r="B78" s="97" t="str">
        <x:v>Strahlruder</x:v>
      </x:c>
      <x:c r="C78" s="97" t="str">
        <x:v>Spanisch (es-ES)</x:v>
      </x:c>
      <x:c r="D78" s="97" t="str">
        <x:v>propulsor de maniobra</x:v>
      </x:c>
      <x:c r="E78" s="97" t="str">
        <x:v>thruster (außer bewusst als Marken-/Fachjargon)</x:v>
      </x:c>
      <x:c r="F78" s="97" t="str">
        <x:v>Im Fließtext fachsprachlich spanisch halten.</x:v>
      </x:c>
    </x:row>
    <x:row r="79" ht="15" hidden="0" customHeight="1">
      <x:c r="A79" s="99" t="str">
        <x:v>Deutsch</x:v>
      </x:c>
      <x:c r="B79" s="99" t="str">
        <x:v>Strahlruder</x:v>
      </x:c>
      <x:c r="C79" s="99" t="str">
        <x:v>Niederländisch (nl-NL)</x:v>
      </x:c>
      <x:c r="D79" s="99" t="str">
        <x:v>thruster</x:v>
      </x:c>
      <x:c r="E79" s="99" t="str">
        <x:v>wisselnd „dwarsstuwer“/„thruster“ ohne Styleguide</x:v>
      </x:c>
      <x:c r="F79" s="99" t="str">
        <x:v>Aktueller Website-Stil verwendet „thruster“ häufig und natürlich.</x:v>
      </x:c>
    </x:row>
    <x:row r="80" ht="15" hidden="0" customHeight="1">
      <x:c r="A80" s="97" t="str">
        <x:v>Deutsch</x:v>
      </x:c>
      <x:c r="B80" s="97" t="str">
        <x:v>Strahlruder</x:v>
      </x:c>
      <x:c r="C80" s="97" t="str">
        <x:v>Norwegisch Bokmål (nb-NO)</x:v>
      </x:c>
      <x:c r="D80" s="97" t="str">
        <x:v>thruster</x:v>
      </x:c>
      <x:c r="E80" s="97" t="str">
        <x:v>unmotivierter Wechsel zu anderen Gattungsbegriffen</x:v>
      </x:c>
      <x:c r="F80" s="97" t="str">
        <x:v>Für Bug/Heck spezifizieren.</x:v>
      </x:c>
    </x:row>
    <x:row r="81" ht="15" hidden="0" customHeight="1">
      <x:c r="A81" s="99" t="str">
        <x:v>Deutsch</x:v>
      </x:c>
      <x:c r="B81" s="99" t="str">
        <x:v>Strahlruder</x:v>
      </x:c>
      <x:c r="C81" s="99" t="str">
        <x:v>Schwedisch (sv-SE)</x:v>
      </x:c>
      <x:c r="D81" s="99" t="str">
        <x:v>manöverpropeller</x:v>
      </x:c>
      <x:c r="E81" s="99" t="str">
        <x:v>thruster in normalem Fließtext</x:v>
      </x:c>
      <x:c r="F81" s="99" t="str">
        <x:v>Technisch klar und bereits im Produkttext etabliert.</x:v>
      </x:c>
    </x:row>
    <x:row r="82" ht="15" hidden="0" customHeight="1">
      <x:c r="A82" s="97" t="str">
        <x:v>Deutsch</x:v>
      </x:c>
      <x:c r="B82" s="97" t="str">
        <x:v>Weitere auf Anfrage</x:v>
      </x:c>
      <x:c r="C82" s="97" t="str">
        <x:v>Englisch (en)</x:v>
      </x:c>
      <x:c r="D82" s="97" t="str">
        <x:v>Others available on request</x:v>
      </x:c>
      <x:c r="E82" s="97" t="str">
        <x:v>Others under consultation</x:v>
      </x:c>
      <x:c r="F82" s="97" t="str">
        <x:v>Für Konfigurator-Auswahloptionen.</x:v>
      </x:c>
    </x:row>
    <x:row r="83" ht="15" hidden="0" customHeight="1">
      <x:c r="A83" s="99" t="str">
        <x:v>Deutsch</x:v>
      </x:c>
      <x:c r="B83" s="99" t="str">
        <x:v>Weitere auf Anfrage</x:v>
      </x:c>
      <x:c r="C83" s="99" t="str">
        <x:v>Französisch (fr-FR)</x:v>
      </x:c>
      <x:c r="D83" s="99" t="str">
        <x:v>Autres sur demande</x:v>
      </x:c>
      <x:c r="E83" s="99" t="str">
        <x:v>Autres sous consultation</x:v>
      </x:c>
      <x:c r="F83" s="99" t="str">
        <x:v>Für Konfigurator-Auswahloptionen.</x:v>
      </x:c>
    </x:row>
    <x:row r="84" ht="15" hidden="0" customHeight="1">
      <x:c r="A84" s="97" t="str">
        <x:v>Deutsch</x:v>
      </x:c>
      <x:c r="B84" s="97" t="str">
        <x:v>Weitere auf Anfrage</x:v>
      </x:c>
      <x:c r="C84" s="97" t="str">
        <x:v>Spanisch (es-ES)</x:v>
      </x:c>
      <x:c r="D84" s="97" t="str">
        <x:v>Otros, previa consulta</x:v>
      </x:c>
      <x:c r="E84" s="97" t="str">
        <x:v>Otros bajo consulta</x:v>
      </x:c>
      <x:c r="F84" s="97" t="str">
        <x:v>Für Auswahloptionen im Konfigurator.</x:v>
      </x:c>
    </x:row>
    <x:row r="85" ht="15" hidden="0" customHeight="1">
      <x:c r="A85" s="99" t="str">
        <x:v>Deutsch</x:v>
      </x:c>
      <x:c r="B85" s="99" t="str">
        <x:v>Winch</x:v>
      </x:c>
      <x:c r="C85" s="99" t="str">
        <x:v>Englisch (en)</x:v>
      </x:c>
      <x:c r="D85" s="99" t="str">
        <x:v>winch</x:v>
      </x:c>
      <x:c r="E85" s="99" t="str">
        <x:v>anchor windlass ohne Ankerfunktion</x:v>
      </x:c>
      <x:c r="F85" s="99" t="str">
        <x:v>Generischer Windenbegriff.</x:v>
      </x:c>
    </x:row>
    <x:row r="86" ht="15" hidden="0" customHeight="1">
      <x:c r="A86" s="97" t="str">
        <x:v>Deutsch</x:v>
      </x:c>
      <x:c r="B86" s="97" t="str">
        <x:v>Winch</x:v>
      </x:c>
      <x:c r="C86" s="97" t="str">
        <x:v>Französisch (fr-FR)</x:v>
      </x:c>
      <x:c r="D86" s="97" t="str">
        <x:v>treuil</x:v>
      </x:c>
      <x:c r="E86" s="97" t="str">
        <x:v>guindeau ohne Ankerfunktion</x:v>
      </x:c>
      <x:c r="F86" s="97" t="str">
        <x:v>Gerätefunktion beachten.</x:v>
      </x:c>
    </x:row>
    <x:row r="87" ht="15" hidden="0" customHeight="1">
      <x:c r="A87" s="99" t="str">
        <x:v>Deutsch</x:v>
      </x:c>
      <x:c r="B87" s="99" t="str">
        <x:v>Winch</x:v>
      </x:c>
      <x:c r="C87" s="99" t="str">
        <x:v>Dänisch (da-DK)</x:v>
      </x:c>
      <x:c r="D87" s="99" t="str">
        <x:v>spil</x:v>
      </x:c>
      <x:c r="E87" s="99" t="str">
        <x:v>ankerspil, wenn keine Ankerwinde gemeint ist</x:v>
      </x:c>
      <x:c r="F87" s="99" t="str">
        <x:v>Generischer Windenbegriff.</x:v>
      </x:c>
    </x:row>
    <x:row r="88" ht="15" hidden="0" customHeight="1">
      <x:c r="A88" s="97" t="str">
        <x:v>Deutsch</x:v>
      </x:c>
      <x:c r="B88" s="97" t="str">
        <x:v>Winch</x:v>
      </x:c>
      <x:c r="C88" s="97" t="str">
        <x:v>Spanisch (es-ES)</x:v>
      </x:c>
      <x:c r="D88" s="97" t="str">
        <x:v>cabrestante</x:v>
      </x:c>
      <x:c r="E88" s="97" t="str">
        <x:v>molinete de ancla, wenn keine Ankerfunktion gemeint ist</x:v>
      </x:c>
      <x:c r="F88" s="97" t="str">
        <x:v>Gerätefunktion beachten.</x:v>
      </x:c>
    </x:row>
    <x:row r="89" ht="15" hidden="0" customHeight="1">
      <x:c r="A89" s="99" t="str">
        <x:v>Deutsch</x:v>
      </x:c>
      <x:c r="B89" s="99" t="str">
        <x:v>Winch</x:v>
      </x:c>
      <x:c r="C89" s="99" t="str">
        <x:v>Niederländisch (nl-NL)</x:v>
      </x:c>
      <x:c r="D89" s="99" t="str">
        <x:v>lier</x:v>
      </x:c>
      <x:c r="E89" s="99" t="str">
        <x:v>ankerlier, wenn keine Ankerfunktion gemeint ist</x:v>
      </x:c>
      <x:c r="F89" s="99" t="str">
        <x:v>Generischer Windenbegriff.</x:v>
      </x:c>
    </x:row>
    <x:row r="90" ht="15" hidden="0" customHeight="1">
      <x:c r="A90" s="97" t="str">
        <x:v>Deutsch</x:v>
      </x:c>
      <x:c r="B90" s="97" t="str">
        <x:v>Winch</x:v>
      </x:c>
      <x:c r="C90" s="97" t="str">
        <x:v>Norwegisch Bokmål (nb-NO)</x:v>
      </x:c>
      <x:c r="D90" s="97" t="str">
        <x:v>vinsj</x:v>
      </x:c>
      <x:c r="E90" s="97" t="str">
        <x:v>ankervinsj, wenn keine Ankerfunktion gemeint ist</x:v>
      </x:c>
      <x:c r="F90" s="97" t="str">
        <x:v>Generischer Windenbegriff.</x:v>
      </x:c>
    </x:row>
    <x:row r="91" ht="15" hidden="0" customHeight="1">
      <x:c r="A91" s="99" t="str">
        <x:v>Deutsch</x:v>
      </x:c>
      <x:c r="B91" s="99" t="str">
        <x:v>Winch</x:v>
      </x:c>
      <x:c r="C91" s="99" t="str">
        <x:v>Schwedisch (sv-SE)</x:v>
      </x:c>
      <x:c r="D91" s="99" t="str">
        <x:v>vinsch</x:v>
      </x:c>
      <x:c r="E91" s="99" t="str">
        <x:v>ankarspel, wenn keine Ankerfunktion gemeint ist</x:v>
      </x:c>
      <x:c r="F91" s="99" t="str">
        <x:v>Generischer Windenbegriff.</x:v>
      </x:c>
    </x:row>
  </x:sheetData>
  <x:pageMargins left="0.7" right="0.7" top="0.75" bottom="0.75" header="0.3" footer="0.3"/>
  <x:tableParts count="1">
    <x:tablePart xmlns:r="http://schemas.openxmlformats.org/officeDocument/2006/relationships" r:id="R1510289a16464f6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28" hidden="0" customWidth="1"/>
    <x:col min="3" max="3" width="35" hidden="0" customWidth="1"/>
    <x:col min="4" max="4" width="23" hidden="0" customWidth="1"/>
    <x:col min="5" max="5" width="55" hidden="0" customWidth="1"/>
    <x:col min="6" max="6" width="20" hidden="0" customWidth="1"/>
  </x:cols>
  <x:sheetData>
    <x:row r="1" ht="28" customHeight="1">
      <x:c r="A1" s="51" t="str">
        <x:v>Abschlussbericht – Übersetzungsqualität SmartDock (7 Zielsprachen)</x:v>
      </x:c>
      <x:c r="B1" s="51"/>
      <x:c r="C1" s="51"/>
      <x:c r="D1" s="51"/>
      <x:c r="E1" s="51"/>
      <x:c r="F1" s="51"/>
    </x:row>
    <x:row r="2">
      <x:c r="A2" s="52"/>
      <x:c r="B2" s="52"/>
      <x:c r="C2" s="52"/>
      <x:c r="D2" s="52"/>
      <x:c r="E2" s="52"/>
      <x:c r="F2" s="52"/>
    </x:row>
    <x:row r="3" ht="30" customHeight="1">
      <x:c r="A3" s="53" t="str">
        <x:v>QA-Gesamturteil</x:v>
      </x:c>
      <x:c r="B3" s="121" t="n">
        <x:f>ROUND(AVERAGE(E4:E10),0)</x:f>
        <x:v>91</x:v>
      </x:c>
      <x:c r="C3" s="52"/>
      <x:c r="D3" s="76" t="str">
        <x:v>Zielsprache</x:v>
      </x:c>
      <x:c r="E3" s="77" t="str">
        <x:v>Arithm. Seitenmittel</x:v>
      </x:c>
      <x:c r="F3" s="78" t="str">
        <x:v>Einordnung</x:v>
      </x:c>
    </x:row>
    <x:row r="4" ht="30" customHeight="1">
      <x:c r="A4" s="53" t="str">
        <x:v>Kritische Fehler</x:v>
      </x:c>
      <x:c r="B4" s="121" t="n">
        <x:f>COUNTIF('Fehlerliste'!$E$2:$E$75,"Kritisch")</x:f>
        <x:v>6</x:v>
      </x:c>
      <x:c r="C4" s="52"/>
      <x:c r="D4" s="54" t="str">
        <x:v>Englisch (en)</x:v>
      </x:c>
      <x:c r="E4" s="122" t="n">
        <x:f>ROUND(AVERAGEIF('Seitenbewertungen'!$A$2:$A$211,D4,'Seitenbewertungen'!$I$2:$I$211),1)</x:f>
        <x:v>88.5</x:v>
      </x:c>
      <x:c r="F4" s="54" t="str">
        <x:f>IF(E4&gt;=95,"praktisch muttersprachlich",IF(E4&gt;=85,"sehr gut; gezielte Korrekturen",IF(E4&gt;=70,"verständlich; mehrere Probleme",IF(E4&gt;=50,"deutlicher Überarbeitungsbedarf","erhebliche Übersetzungsprobleme"))))</x:f>
        <x:v>sehr gut; gezielte Korrekturen</x:v>
      </x:c>
    </x:row>
    <x:row r="5" ht="30" customHeight="1">
      <x:c r="A5" s="53" t="str">
        <x:v>Hohe Fehler (repräsentative Befunde)</x:v>
      </x:c>
      <x:c r="B5" s="121" t="n">
        <x:f>COUNTIF('Fehlerliste'!$E$2:$E$75,"Hoch")</x:f>
        <x:v>41</x:v>
      </x:c>
      <x:c r="C5" s="52"/>
      <x:c r="D5" s="54" t="str">
        <x:v>Französisch (fr-FR)</x:v>
      </x:c>
      <x:c r="E5" s="122" t="n">
        <x:f>ROUND(AVERAGEIF('Seitenbewertungen'!$A$2:$A$211,D5,'Seitenbewertungen'!$I$2:$I$211),1)</x:f>
        <x:v>69.6</x:v>
      </x:c>
      <x:c r="F5" s="54" t="str">
        <x:f>IF(E5&gt;=95,"praktisch muttersprachlich",IF(E5&gt;=85,"sehr gut; gezielte Korrekturen",IF(E5&gt;=70,"verständlich; mehrere Probleme",IF(E5&gt;=50,"deutlicher Überarbeitungsbedarf","erhebliche Übersetzungsprobleme"))))</x:f>
        <x:v>deutlicher Überarbeitungsbedarf</x:v>
      </x:c>
    </x:row>
    <x:row r="6" ht="30" customHeight="1">
      <x:c r="A6" s="53" t="str">
        <x:v>Mittlere Fehler (repräsentative Befunde)</x:v>
      </x:c>
      <x:c r="B6" s="121" t="n">
        <x:f>COUNTIF('Fehlerliste'!$E$2:$E$75,"Mittel")</x:f>
        <x:v>20</x:v>
      </x:c>
      <x:c r="C6" s="52"/>
      <x:c r="D6" s="54" t="str">
        <x:v>Dänisch (da-DK)</x:v>
      </x:c>
      <x:c r="E6" s="122" t="n">
        <x:f>ROUND(AVERAGEIF('Seitenbewertungen'!$A$2:$A$211,D6,'Seitenbewertungen'!$I$2:$I$211),1)</x:f>
        <x:v>95.6</x:v>
      </x:c>
      <x:c r="F6" s="54" t="str">
        <x:f>IF(E6&gt;=95,"praktisch muttersprachlich",IF(E6&gt;=85,"sehr gut; gezielte Korrekturen",IF(E6&gt;=70,"verständlich; mehrere Probleme",IF(E6&gt;=50,"deutlicher Überarbeitungsbedarf","erhebliche Übersetzungsprobleme"))))</x:f>
        <x:v>praktisch muttersprachlich</x:v>
      </x:c>
    </x:row>
    <x:row r="7" ht="30" customHeight="1">
      <x:c r="A7" s="53" t="str">
        <x:v>Niedrige Fehler (repräsentative Befunde)</x:v>
      </x:c>
      <x:c r="B7" s="121" t="n">
        <x:f>COUNTIF('Fehlerliste'!$E$2:$E$75,"Niedrig")</x:f>
        <x:v>7</x:v>
      </x:c>
      <x:c r="C7" s="52"/>
      <x:c r="D7" s="54" t="str">
        <x:v>Spanisch (es-ES)</x:v>
      </x:c>
      <x:c r="E7" s="122" t="n">
        <x:f>ROUND(AVERAGEIF('Seitenbewertungen'!$A$2:$A$211,D7,'Seitenbewertungen'!$I$2:$I$211),1)</x:f>
        <x:v>95.5</x:v>
      </x:c>
      <x:c r="F7" s="54" t="str">
        <x:f>IF(E7&gt;=95,"praktisch muttersprachlich",IF(E7&gt;=85,"sehr gut; gezielte Korrekturen",IF(E7&gt;=70,"verständlich; mehrere Probleme",IF(E7&gt;=50,"deutlicher Überarbeitungsbedarf","erhebliche Übersetzungsprobleme"))))</x:f>
        <x:v>praktisch muttersprachlich</x:v>
      </x:c>
    </x:row>
    <x:row r="8" ht="30" customHeight="1">
      <x:c r="A8" s="56" t="str">
        <x:v>EN SOURCE_NOT_VERIFIED</x:v>
      </x:c>
      <x:c r="B8" s="123" t="n">
        <x:v>67</x:v>
      </x:c>
      <x:c r="C8" s="52"/>
      <x:c r="D8" s="54" t="str">
        <x:v>Niederländisch (nl-NL)</x:v>
      </x:c>
      <x:c r="E8" s="122" t="n">
        <x:f>ROUND(AVERAGEIF('Seitenbewertungen'!$A$2:$A$211,D8,'Seitenbewertungen'!$I$2:$I$211),1)</x:f>
        <x:v>95.5</x:v>
      </x:c>
      <x:c r="F8" s="54" t="str">
        <x:f>IF(E8&gt;=95,"praktisch muttersprachlich",IF(E8&gt;=85,"sehr gut; gezielte Korrekturen",IF(E8&gt;=70,"verständlich; mehrere Probleme",IF(E8&gt;=50,"deutlicher Überarbeitungsbedarf","erhebliche Übersetzungsprobleme"))))</x:f>
        <x:v>praktisch muttersprachlich</x:v>
      </x:c>
    </x:row>
    <x:row r="9" ht="30" customHeight="1">
      <x:c r="A9" s="56" t="str">
        <x:v>FR SOURCE_NOT_VERIFIED</x:v>
      </x:c>
      <x:c r="B9" s="123" t="n">
        <x:v>77</x:v>
      </x:c>
      <x:c r="C9" s="52"/>
      <x:c r="D9" s="52" t="str">
        <x:v>Norwegisch Bokmål (nb-NO)</x:v>
      </x:c>
      <x:c r="E9" s="52" t="n">
        <x:f>ROUND(AVERAGEIF('Seitenbewertungen'!$A$2:$A$211,D9,'Seitenbewertungen'!$I$2:$I$211),1)</x:f>
        <x:v>95.4</x:v>
      </x:c>
      <x:c r="F9" s="52" t="str">
        <x:f>IF(E9&gt;=95,"praktisch muttersprachlich",IF(E9&gt;=85,"sehr gut; gezielte Korrekturen",IF(E9&gt;=70,"verständlich; mehrere Probleme",IF(E9&gt;=50,"deutlicher Überarbeitungsbedarf","erhebliche Übersetzungsprobleme"))))</x:f>
        <x:v>praktisch muttersprachlich</x:v>
      </x:c>
    </x:row>
    <x:row r="10" ht="30" customHeight="1">
      <x:c r="A10" s="56" t="str">
        <x:v>FR LIVE-DE-FALLBACK</x:v>
      </x:c>
      <x:c r="B10" s="123" t="n">
        <x:v>35</x:v>
      </x:c>
      <x:c r="C10" s="52"/>
      <x:c r="D10" s="52" t="str">
        <x:v>Schwedisch (sv-SE)</x:v>
      </x:c>
      <x:c r="E10" s="52" t="n">
        <x:f>ROUND(AVERAGEIF('Seitenbewertungen'!$A$2:$A$211,D10,'Seitenbewertungen'!$I$2:$I$211),1)</x:f>
        <x:v>95.3</x:v>
      </x:c>
      <x:c r="F10" s="52" t="str">
        <x:f>IF(E10&gt;=95,"praktisch muttersprachlich",IF(E10&gt;=85,"sehr gut; gezielte Korrekturen",IF(E10&gt;=70,"verständlich; mehrere Probleme",IF(E10&gt;=50,"deutlicher Überarbeitungsbedarf","erhebliche Übersetzungsprobleme"))))</x:f>
        <x:v>praktisch muttersprachlich</x:v>
      </x:c>
    </x:row>
    <x:row r="11">
      <x:c r="A11" s="124"/>
      <x:c r="B11" s="124"/>
      <x:c r="C11" s="124"/>
      <x:c r="D11" s="124"/>
      <x:c r="E11" s="124"/>
      <x:c r="F11" s="124"/>
    </x:row>
    <x:row r="12">
      <x:c r="A12" s="125" t="str">
        <x:v>1. Gesamtbewertung der Übersetzungsqualität</x:v>
      </x:c>
      <x:c r="B12" s="125"/>
      <x:c r="C12" s="125"/>
      <x:c r="D12" s="125"/>
      <x:c r="E12" s="125"/>
      <x:c r="F12" s="125"/>
    </x:row>
    <x:row r="13" ht="30" customHeight="1">
      <x:c r="A13" s="54" t="str">
        <x:v>Das Gesamtbild bleibt für DA/ES/NL/NB/SV sehr gut. Englisch ist sprachlich meist stark, weist aber erhebliche aktive Quell-/Verdrahtungslücken in Installation, Konfigurator, SEO/Accessibility und Rastertexten auf. Französisch wird durch denselben EN/FR-Quellmangel und zusätzlich sechs vollständig deutsch ausspielende Rechtsrouten stark abgewertet.</x:v>
      </x:c>
      <x:c r="B13" s="54"/>
      <x:c r="C13" s="54"/>
      <x:c r="D13" s="54"/>
      <x:c r="E13" s="54"/>
      <x:c r="F13" s="54"/>
    </x:row>
    <x:row r="14" ht="30" customHeight="1">
      <x:c r="A14" s="54"/>
      <x:c r="B14" s="54"/>
      <x:c r="C14" s="54"/>
      <x:c r="D14" s="54"/>
      <x:c r="E14" s="54"/>
      <x:c r="F14" s="54"/>
    </x:row>
    <x:row r="15">
      <x:c r="A15" s="124"/>
      <x:c r="B15" s="124"/>
      <x:c r="C15" s="124"/>
      <x:c r="D15" s="124"/>
      <x:c r="E15" s="124"/>
      <x:c r="F15" s="124"/>
    </x:row>
    <x:row r="16">
      <x:c r="A16" s="125" t="str">
        <x:v>2. Bewertung pro Sprache</x:v>
      </x:c>
      <x:c r="B16" s="125"/>
      <x:c r="C16" s="125"/>
      <x:c r="D16" s="125"/>
      <x:c r="E16" s="125"/>
      <x:c r="F16" s="125"/>
    </x:row>
    <x:row r="17" ht="30" customHeight="1">
      <x:c r="A17" s="54" t="str">
        <x:v>EN: gute vorhandene Übersetzungen, aber 67 SOURCE_NOT_VERIFIED-Felder und ein nahezu deutsch bleibender Konfigurator-Abschluss. FR: gute vorhandene Marketing-/Produkttexte, jedoch 77 SOURCE_NOT_VERIFIED-Felder, 35 explizite LIVE-DE-FALLBACK-Zellen und sechs defekte Rechtsrouten. DA/ES/NL/NB/SV: überwiegend 95+; Hauptprobleme konzentrieren sich auf deutsche Legal-Kürzel, einzelne Fachbegriffe und wenige unnatürliche Formulierungen.</x:v>
      </x:c>
      <x:c r="B17" s="54"/>
      <x:c r="C17" s="54"/>
      <x:c r="D17" s="54"/>
      <x:c r="E17" s="54"/>
      <x:c r="F17" s="54"/>
    </x:row>
    <x:row r="18" ht="30" customHeight="1">
      <x:c r="A18" s="54"/>
      <x:c r="B18" s="54"/>
      <x:c r="C18" s="54"/>
      <x:c r="D18" s="54"/>
      <x:c r="E18" s="54"/>
      <x:c r="F18" s="54"/>
    </x:row>
    <x:row r="19">
      <x:c r="A19" s="124"/>
      <x:c r="B19" s="124"/>
      <x:c r="C19" s="124"/>
      <x:c r="D19" s="124"/>
      <x:c r="E19" s="124"/>
      <x:c r="F19" s="124"/>
    </x:row>
    <x:row r="20">
      <x:c r="A20" s="125" t="str">
        <x:v>3. Häufigste Fehlerarten</x:v>
      </x:c>
      <x:c r="B20" s="125"/>
      <x:c r="C20" s="125"/>
      <x:c r="D20" s="125"/>
      <x:c r="E20" s="125"/>
      <x:c r="F20" s="125"/>
    </x:row>
    <x:row r="21" ht="30" customHeight="1">
      <x:c r="A21" s="54" t="str">
        <x:v>1) German Leaks und nicht verdrahtete EN/FR-Strings; 2) französische Rechtsrouten mit deutschem Laufzeitinhalt; 3) nicht lokalisierte DSGVO-/AVV-/Zitierkonventionen in DA/ES/NL/NB/SV; 4) einzelne technische Terminologiefehler; 5) ältere EN/FR-Marketingtexte, die den aktuellen DE-Master verstärken; 6) inkonsistente wiederverwendete Rechtstexte.</x:v>
      </x:c>
      <x:c r="B21" s="54"/>
      <x:c r="C21" s="54"/>
      <x:c r="D21" s="54"/>
      <x:c r="E21" s="54"/>
      <x:c r="F21" s="54"/>
    </x:row>
    <x:row r="22" ht="30" customHeight="1">
      <x:c r="A22" s="54"/>
      <x:c r="B22" s="54"/>
      <x:c r="C22" s="54"/>
      <x:c r="D22" s="54"/>
      <x:c r="E22" s="54"/>
      <x:c r="F22" s="54"/>
    </x:row>
    <x:row r="23">
      <x:c r="A23" s="124"/>
      <x:c r="B23" s="124"/>
      <x:c r="C23" s="124"/>
      <x:c r="D23" s="124"/>
      <x:c r="E23" s="124"/>
      <x:c r="F23" s="124"/>
    </x:row>
    <x:row r="24">
      <x:c r="A24" s="125" t="str">
        <x:v>4. Kritische Übersetzungsfehler</x:v>
      </x:c>
      <x:c r="B24" s="125"/>
      <x:c r="C24" s="125"/>
      <x:c r="D24" s="125"/>
      <x:c r="E24" s="125"/>
      <x:c r="F24" s="125"/>
    </x:row>
    <x:row r="25" ht="30" customHeight="1">
      <x:c r="A25" s="54" t="str">
        <x:v>Sechs kritische Laufzeitfehler betreffen die französischen Routen für Barrierefreiheit, Versand, Widerruf, AGB, Impressum und Datenschutz. Die dort veröffentlichten deutschen Inhalte sind in der Zielsprache faktisch nicht verfügbar. Vor Live-Freigabe sind aktive FR-Verdrahtung und fachliche/rechtliche Prüfung zwingend.</x:v>
      </x:c>
      <x:c r="B25" s="54"/>
      <x:c r="C25" s="54"/>
      <x:c r="D25" s="54"/>
      <x:c r="E25" s="54"/>
      <x:c r="F25" s="54"/>
    </x:row>
    <x:row r="26" ht="30" customHeight="1">
      <x:c r="A26" s="54"/>
      <x:c r="B26" s="54"/>
      <x:c r="C26" s="54"/>
      <x:c r="D26" s="54"/>
      <x:c r="E26" s="54"/>
      <x:c r="F26" s="54"/>
    </x:row>
    <x:row r="27">
      <x:c r="A27" s="124"/>
      <x:c r="B27" s="124"/>
      <x:c r="C27" s="124"/>
      <x:c r="D27" s="124"/>
      <x:c r="E27" s="124"/>
      <x:c r="F27" s="124"/>
    </x:row>
    <x:row r="28">
      <x:c r="A28" s="125" t="str">
        <x:v>5. Wiederkehrende Terminologieprobleme</x:v>
      </x:c>
      <x:c r="B28" s="125"/>
      <x:c r="C28" s="125"/>
      <x:c r="D28" s="125"/>
      <x:c r="E28" s="125"/>
      <x:c r="F28" s="125"/>
    </x:row>
    <x:row r="29" ht="30" customHeight="1">
      <x:c r="A29" s="54" t="str">
        <x:v>Legal: DSGVO/GDPR/RGPD/AVG, AVV/DPA sowie Art.-/Absatz-/Satz-Zitierweise. Technik: bow/stern thruster, Ankerwinde versus allgemeine Winch, Steuerstand. UI: Händler/Einbaupartner, Konfigurator, Paketrabatt und „Weitere auf Anfrage“. Das Glossar wurde um EN/FR ergänzt.</x:v>
      </x:c>
      <x:c r="B29" s="54"/>
      <x:c r="C29" s="54"/>
      <x:c r="D29" s="54"/>
      <x:c r="E29" s="54"/>
      <x:c r="F29" s="54"/>
    </x:row>
    <x:row r="30" ht="30" customHeight="1">
      <x:c r="A30" s="54"/>
      <x:c r="B30" s="54"/>
      <x:c r="C30" s="54"/>
      <x:c r="D30" s="54"/>
      <x:c r="E30" s="54"/>
      <x:c r="F30" s="54"/>
    </x:row>
    <x:row r="31">
      <x:c r="A31" s="124"/>
      <x:c r="B31" s="124"/>
      <x:c r="C31" s="124"/>
      <x:c r="D31" s="124"/>
      <x:c r="E31" s="124"/>
      <x:c r="F31" s="124"/>
    </x:row>
    <x:row r="32">
      <x:c r="A32" s="125" t="str">
        <x:v>6. German Leaks und Source-Mapping-Lücken</x:v>
      </x:c>
      <x:c r="B32" s="125"/>
      <x:c r="C32" s="125"/>
      <x:c r="D32" s="125"/>
      <x:c r="E32" s="125"/>
      <x:c r="F32" s="125"/>
    </x:row>
    <x:row r="33" ht="30" customHeight="1">
      <x:c r="A33" s="54" t="str">
        <x:v>Strukturierte Quellauswertung: 67 englische und 77 französische Felder sind SOURCE_NOT_VERIFIED. Besonders betroffen sind P07/P08, P18–P20, P27 und P28. Für FR kommen 35 explizite LIVE-DE-FALLBACK-Zellen hinzu. Diese Marker wurden nicht als freigegebene Übersetzungen behandelt.</x:v>
      </x:c>
      <x:c r="B33" s="54"/>
      <x:c r="C33" s="54"/>
      <x:c r="D33" s="54"/>
      <x:c r="E33" s="54"/>
      <x:c r="F33" s="54"/>
    </x:row>
    <x:row r="34" ht="30" customHeight="1">
      <x:c r="A34" s="54"/>
      <x:c r="B34" s="54"/>
      <x:c r="C34" s="54"/>
      <x:c r="D34" s="54"/>
      <x:c r="E34" s="54"/>
      <x:c r="F34" s="54"/>
    </x:row>
    <x:row r="35">
      <x:c r="A35" s="124"/>
      <x:c r="B35" s="124"/>
      <x:c r="C35" s="124"/>
      <x:c r="D35" s="124"/>
      <x:c r="E35" s="124"/>
      <x:c r="F35" s="124"/>
    </x:row>
    <x:row r="36">
      <x:c r="A36" s="125" t="str">
        <x:v>7. Besonders maschinell/wörtlich klingende Texte</x:v>
      </x:c>
      <x:c r="B36" s="125"/>
      <x:c r="C36" s="125"/>
      <x:c r="D36" s="125"/>
      <x:c r="E36" s="125"/>
      <x:c r="F36" s="125"/>
    </x:row>
    <x:row r="37" ht="30" customHeight="1">
      <x:c r="A37" s="54" t="str">
        <x:v>Auffällig sind EN „Perfectly Fit“, „centrally and clearly directly“, FR-Registerwechsel tu/vous und ältere übersteigerte Homepage-Claims; außerdem der TCU-Satz in DA/NB/SV, ES „como reequipamiento“ und die gemischten deutschen Legal-Kürzel. Korrekte bestehende Texte wurden nicht aus Stilpräferenz verändert.</x:v>
      </x:c>
      <x:c r="B37" s="54"/>
      <x:c r="C37" s="54"/>
      <x:c r="D37" s="54"/>
      <x:c r="E37" s="54"/>
      <x:c r="F37" s="54"/>
    </x:row>
    <x:row r="38" ht="30" customHeight="1">
      <x:c r="A38" s="54"/>
      <x:c r="B38" s="54"/>
      <x:c r="C38" s="54"/>
      <x:c r="D38" s="54"/>
      <x:c r="E38" s="54"/>
      <x:c r="F38" s="54"/>
    </x:row>
    <x:row r="39">
      <x:c r="A39" s="124"/>
      <x:c r="B39" s="124"/>
      <x:c r="C39" s="124"/>
      <x:c r="D39" s="124"/>
      <x:c r="E39" s="124"/>
      <x:c r="F39" s="124"/>
    </x:row>
    <x:row r="40">
      <x:c r="A40" s="125" t="str">
        <x:v>8. Empfehlungen für das SmartDock-Glossar</x:v>
      </x:c>
      <x:c r="B40" s="125"/>
      <x:c r="C40" s="125"/>
      <x:c r="D40" s="125"/>
      <x:c r="E40" s="125"/>
      <x:c r="F40" s="125"/>
    </x:row>
    <x:row r="41" ht="30" customHeight="1">
      <x:c r="A41" s="54" t="str">
        <x:v>Das verbindliche Glossar sollte alle sieben Zielsprachen abdecken und in Runtime, Übersetzungsdateien, dynamischen Werten und Raster-Assets dieselben Einträge verwenden. Rechtstexte und Markenhinweise sollten als Single-Source-Strings geführt werden. SOURCE_NOT_VERIFIED darf nicht als veröffentlichungsfähiger Zieltext gelten.</x:v>
      </x:c>
      <x:c r="B41" s="54"/>
      <x:c r="C41" s="54"/>
      <x:c r="D41" s="54"/>
      <x:c r="E41" s="54"/>
      <x:c r="F41" s="54"/>
    </x:row>
    <x:row r="42" ht="30" customHeight="1">
      <x:c r="A42" s="54"/>
      <x:c r="B42" s="54"/>
      <x:c r="C42" s="54"/>
      <x:c r="D42" s="54"/>
      <x:c r="E42" s="54"/>
      <x:c r="F42" s="54"/>
    </x:row>
    <x:row r="43">
      <x:c r="A43" s="124"/>
      <x:c r="B43" s="124"/>
      <x:c r="C43" s="124"/>
      <x:c r="D43" s="124"/>
      <x:c r="E43" s="124"/>
      <x:c r="F43" s="124"/>
    </x:row>
    <x:row r="44">
      <x:c r="A44" s="126" t="str">
        <x:v>9. Prüfhinweis zu TARGET_REVIEW</x:v>
      </x:c>
      <x:c r="B44" s="126"/>
      <x:c r="C44" s="126"/>
      <x:c r="D44" s="126"/>
      <x:c r="E44" s="126"/>
      <x:c r="F44" s="127"/>
    </x:row>
    <x:row r="45" ht="30" customHeight="1">
      <x:c r="A45" s="54" t="str">
        <x:v>TARGET_REVIEW bleibt eine separate fachliche/faktische Freigabemarkierung. Claims zu Sicherheit, Kompatibilität, Preisen, Fristen, Zertifizierung und Rechtskonformität wurden nicht allein wegen dieses Status als Übersetzungsfehler gewertet. Sprachliche und Laufzeitfehler wurden jedoch unabhängig davon bewertet.</x:v>
      </x:c>
      <x:c r="B45" s="54"/>
      <x:c r="C45" s="54"/>
      <x:c r="D45" s="54"/>
      <x:c r="E45" s="54"/>
      <x:c r="F45" s="54"/>
    </x:row>
    <x:row r="46" ht="30" customHeight="1">
      <x:c r="A46" s="54"/>
      <x:c r="B46" s="54"/>
      <x:c r="C46" s="54"/>
      <x:c r="D46" s="54"/>
      <x:c r="E46" s="54"/>
      <x:c r="F46" s="54"/>
    </x:row>
    <x:row r="47">
      <x:c r="A47" s="54"/>
      <x:c r="B47" s="54"/>
      <x:c r="C47" s="54"/>
      <x:c r="D47" s="54"/>
      <x:c r="E47" s="54"/>
      <x:c r="F47" s="52"/>
    </x:row>
    <x:row r="48">
      <x:c r="A48" s="54"/>
      <x:c r="B48" s="54"/>
      <x:c r="C48" s="54"/>
      <x:c r="D48" s="54"/>
      <x:c r="E48" s="54"/>
      <x:c r="F48" s="52"/>
    </x:row>
    <x:row r="49">
      <x:c r="A49" s="125" t="str">
        <x:v>Top 10 der wichtigsten Korrekturen</x:v>
      </x:c>
      <x:c r="B49" s="125"/>
      <x:c r="C49" s="125"/>
      <x:c r="D49" s="125"/>
      <x:c r="E49" s="125"/>
      <x:c r="F49" s="127"/>
    </x:row>
    <x:row r="50" ht="28" customHeight="1">
      <x:c r="A50" s="76" t="str">
        <x:v>Priorität</x:v>
      </x:c>
      <x:c r="B50" s="77" t="str">
        <x:v>Bereich</x:v>
      </x:c>
      <x:c r="C50" s="77" t="str">
        <x:v>Korrektur</x:v>
      </x:c>
      <x:c r="D50" s="77" t="str">
        <x:v>Schweregrad</x:v>
      </x:c>
      <x:c r="E50" s="77" t="str">
        <x:v>Warum wichtig</x:v>
      </x:c>
      <x:c r="F50" s="78" t="str">
        <x:v>Status</x:v>
      </x:c>
    </x:row>
    <x:row r="51" ht="42" customHeight="1">
      <x:c r="A51" s="54" t="n">
        <x:v>1</x:v>
      </x:c>
      <x:c r="B51" s="54" t="str">
        <x:v>P21–P26 · FR</x:v>
      </x:c>
      <x:c r="C51" s="54" t="str">
        <x:v>Sechs französische Rechtsrouten auf echte FR-Inhalte umstellen</x:v>
      </x:c>
      <x:c r="D51" s="54" t="str">
        <x:v>Kritisch</x:v>
      </x:c>
      <x:c r="E51" s="54" t="str">
        <x:v>Derzeit wird vollständiger deutscher Rechts-/Compliance-Inhalt ausgeliefert.</x:v>
      </x:c>
      <x:c r="F51" s="54" t="str">
        <x:v>Offen</x:v>
      </x:c>
    </x:row>
    <x:row r="52" ht="42" customHeight="1">
      <x:c r="A52" s="54" t="n">
        <x:v>2</x:v>
      </x:c>
      <x:c r="B52" s="54" t="str">
        <x:v>P19 · EN/FR</x:v>
      </x:c>
      <x:c r="C52" s="54" t="str">
        <x:v>Bestätigungsseite vollständig an vorhandene i18n-Keys anbinden</x:v>
      </x:c>
      <x:c r="D52" s="54" t="str">
        <x:v>Hoch</x:v>
      </x:c>
      <x:c r="E52" s="54" t="str">
        <x:v>Nur die Überschrift ist wirksam übersetzt; Abschlusszustand bleibt weitgehend deutsch.</x:v>
      </x:c>
      <x:c r="F52" s="54" t="str">
        <x:v>Offen</x:v>
      </x:c>
    </x:row>
    <x:row r="53" ht="42" customHeight="1">
      <x:c r="A53" s="54" t="n">
        <x:v>3</x:v>
      </x:c>
      <x:c r="B53" s="54" t="str">
        <x:v>P18 · EN/FR</x:v>
      </x:c>
      <x:c r="C53" s="54" t="str">
        <x:v>36 SOURCE_NOT_VERIFIED-Kernstrings lokalisieren und verdrahten</x:v>
      </x:c>
      <x:c r="D53" s="54" t="str">
        <x:v>Hoch</x:v>
      </x:c>
      <x:c r="E53" s="54" t="str">
        <x:v>Kontakt, Validierung, Status und PDF-Aktionen sind betroffen.</x:v>
      </x:c>
      <x:c r="F53" s="54" t="str">
        <x:v>Offen</x:v>
      </x:c>
    </x:row>
    <x:row r="54" ht="42" customHeight="1">
      <x:c r="A54" s="54" t="n">
        <x:v>4</x:v>
      </x:c>
      <x:c r="B54" s="54" t="str">
        <x:v>P27 · EN/FR</x:v>
      </x:c>
      <x:c r="C54" s="54" t="str">
        <x:v>SEO-, Alt-, ARIA- und Titeltexte vollständig lokalisieren</x:v>
      </x:c>
      <x:c r="D54" s="54" t="str">
        <x:v>Hoch</x:v>
      </x:c>
      <x:c r="E54" s="54" t="str">
        <x:v>38 aktive Accessibility-/Metadatenfelder sind nicht verifiziert.</x:v>
      </x:c>
      <x:c r="F54" s="54" t="str">
        <x:v>Offen</x:v>
      </x:c>
    </x:row>
    <x:row r="55" ht="42" customHeight="1">
      <x:c r="A55" s="54" t="n">
        <x:v>5</x:v>
      </x:c>
      <x:c r="B55" s="54" t="str">
        <x:v>P07/P08 · EN/FR</x:v>
      </x:c>
      <x:c r="C55" s="54" t="str">
        <x:v>Installations-UI und technische Labels schließen</x:v>
      </x:c>
      <x:c r="D55" s="54" t="str">
        <x:v>Hoch</x:v>
      </x:c>
      <x:c r="E55" s="54" t="str">
        <x:v>22 EN/FR-Felder enthalten keine verifizierte aktive Zielversion.</x:v>
      </x:c>
      <x:c r="F55" s="54" t="str">
        <x:v>Offen</x:v>
      </x:c>
    </x:row>
    <x:row r="56" ht="42" customHeight="1">
      <x:c r="A56" s="54" t="n">
        <x:v>6</x:v>
      </x:c>
      <x:c r="B56" s="54" t="str">
        <x:v>P26A/P26B · DA/ES/NL/NB/SV</x:v>
      </x:c>
      <x:c r="C56" s="54" t="str">
        <x:v>DSGVO, AVV und deutsche Zitiersyntax zielsprachlich lokalisieren</x:v>
      </x:c>
      <x:c r="D56" s="54" t="str">
        <x:v>Hoch</x:v>
      </x:c>
      <x:c r="E56" s="54" t="str">
        <x:v>Wiederkehrende sichtbare German Leaks in Rechtstexten.</x:v>
      </x:c>
      <x:c r="F56" s="54" t="str">
        <x:v>Offen</x:v>
      </x:c>
    </x:row>
    <x:row r="57" ht="42" customHeight="1">
      <x:c r="A57" s="128" t="n">
        <x:v>7</x:v>
      </x:c>
      <x:c r="B57" s="128" t="str">
        <x:v>P02 · EN/FR</x:v>
      </x:c>
      <x:c r="C57" s="128" t="str">
        <x:v>Verstärkte Claims an den aktuellen deutschen Master zurückführen</x:v>
      </x:c>
      <x:c r="D57" s="128" t="str">
        <x:v>Hoch</x:v>
      </x:c>
      <x:c r="E57" s="128" t="str">
        <x:v>„revolutionises“, „perfect overview“ und „précision extrême“ sind Zusätze.</x:v>
      </x:c>
      <x:c r="F57" s="128" t="str">
        <x:v>Offen</x:v>
      </x:c>
    </x:row>
    <x:row r="58" ht="42" customHeight="1">
      <x:c r="A58" s="54" t="n">
        <x:v>8</x:v>
      </x:c>
      <x:c r="B58" s="54" t="str">
        <x:v>P02 · EN</x:v>
      </x:c>
      <x:c r="C58" s="54" t="str">
        <x:v>Ankerwinde konsequent als anchor windlass übersetzen</x:v>
      </x:c>
      <x:c r="D58" s="54" t="str">
        <x:v>Hoch</x:v>
      </x:c>
      <x:c r="E58" s="54" t="str">
        <x:v>Technische Gerätefunktion wird sonst verallgemeinert.</x:v>
      </x:c>
      <x:c r="F58" s="54" t="str">
        <x:v>Offen</x:v>
      </x:c>
    </x:row>
    <x:row r="59" ht="42" customHeight="1">
      <x:c r="A59" s="54" t="n">
        <x:v>9</x:v>
      </x:c>
      <x:c r="B59" s="54" t="str">
        <x:v>P16/P25 · alle Locales</x:v>
      </x:c>
      <x:c r="C59" s="54" t="str">
        <x:v>Marken-/Trademark-Disclaimer als Single Source wiederverwenden</x:v>
      </x:c>
      <x:c r="D59" s="54" t="str">
        <x:v>Mittel</x:v>
      </x:c>
      <x:c r="E59" s="54" t="str">
        <x:v>Rechtlich identischer Mastertext besitzt derzeit abweichende Zielvarianten.</x:v>
      </x:c>
      <x:c r="F59" s="54" t="str">
        <x:v>Offen</x:v>
      </x:c>
    </x:row>
    <x:row r="60" ht="42" customHeight="1">
      <x:c r="A60" s="54" t="n">
        <x:v>10</x:v>
      </x:c>
      <x:c r="B60" s="54" t="str">
        <x:v>P16 · technische Option</x:v>
      </x:c>
      <x:c r="C60" s="54" t="str">
        <x:v>„Joystick EVC 2.0 &amp; D E“ technisch im Master klären</x:v>
      </x:c>
      <x:c r="D60" s="54" t="str">
        <x:v>SOURCE_REVIEW_REQUIRED</x:v>
      </x:c>
      <x:c r="E60" s="54" t="str">
        <x:v>Modell-/Variantenbezeichnung ist ohne Produktfreigabe nicht sicher interpretierbar.</x:v>
      </x:c>
      <x:c r="F60" s="54" t="str">
        <x:v>Klärung nötig</x:v>
      </x:c>
    </x:row>
    <x:row r="61">
      <x:c r="A61" s="52"/>
      <x:c r="B61" s="52"/>
      <x:c r="C61" s="52"/>
      <x:c r="D61" s="52"/>
      <x:c r="E61" s="52"/>
      <x:c r="F61" s="52"/>
    </x:row>
    <x:row r="62">
      <x:c r="A62" s="129" t="str">
        <x:v>Unsicherheiten und Freigabestatus</x:v>
      </x:c>
      <x:c r="B62" s="129"/>
      <x:c r="C62" s="129"/>
      <x:c r="D62" s="129"/>
      <x:c r="E62" s="129"/>
      <x:c r="F62" s="129"/>
    </x:row>
    <x:row r="63" ht="28" customHeight="1">
      <x:c r="A63" s="54" t="str">
        <x:v>CONTEXT_REQUIRED: 0 eindeutige Übersetzungsentscheidungen blockiert. SOURCE_REVIEW_REQUIRED: 1 – „Joystick EVC 2.0 &amp; D E (Volvo Penta)“ bleibt als DO_NOT_TRANSLATE erhalten, bis Modell-/Variantenbedeutung geklärt ist. SOURCE_NOT_VERIFIED: 67 EN / 77 FR – diese Felder benötigen aktive Quellzuordnung bzw. neue, kontextgeprüfte Übersetzungen; sie sind keine Freigabe.</x:v>
      </x:c>
      <x:c r="B63" s="54"/>
      <x:c r="C63" s="54"/>
      <x:c r="D63" s="54"/>
      <x:c r="E63" s="54"/>
      <x:c r="F63" s="54"/>
    </x:row>
    <x:row r="64" ht="28" customHeight="1">
      <x:c r="A64" s="54"/>
      <x:c r="B64" s="54"/>
      <x:c r="C64" s="54"/>
      <x:c r="D64" s="54"/>
      <x:c r="E64" s="54"/>
      <x:c r="F64" s="54"/>
    </x:row>
    <x:row r="65" ht="28" customHeight="1">
      <x:c r="A65" s="54"/>
      <x:c r="B65" s="54"/>
      <x:c r="C65" s="54"/>
      <x:c r="D65" s="54"/>
      <x:c r="E65" s="54"/>
      <x:c r="F65" s="54"/>
    </x:row>
  </x:sheetData>
  <x:mergeCells>
    <x:mergeCell ref="A1:F1"/>
    <x:mergeCell ref="A12:F12"/>
    <x:mergeCell ref="A13:F14"/>
    <x:mergeCell ref="A16:F16"/>
    <x:mergeCell ref="A17:F18"/>
    <x:mergeCell ref="A20:F20"/>
    <x:mergeCell ref="A21:F22"/>
    <x:mergeCell ref="A24:F24"/>
    <x:mergeCell ref="A25:F26"/>
    <x:mergeCell ref="A28:F28"/>
    <x:mergeCell ref="A29:F30"/>
    <x:mergeCell ref="A32:F32"/>
    <x:mergeCell ref="A33:F34"/>
    <x:mergeCell ref="A36:F36"/>
    <x:mergeCell ref="A37:F38"/>
    <x:mergeCell ref="A40:F40"/>
    <x:mergeCell ref="A41:F42"/>
    <x:mergeCell ref="A44:F44"/>
    <x:mergeCell ref="A45:F46"/>
    <x:mergeCell ref="A49:F49"/>
    <x:mergeCell ref="A62:F62"/>
    <x:mergeCell ref="A63:F65"/>
  </x:mergeCells>
  <x:pageMargins left="0.7" right="0.7" top="0.75" bottom="0.75" header="0.3" footer="0.3"/>
</x:worksheet>
</file>